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e des pièces remises" sheetId="1" state="visible" r:id="rId3"/>
    <sheet name="Balance générale" sheetId="2" state="visible" r:id="rId4"/>
    <sheet name="Bilan et CR" sheetId="3" state="visible" r:id="rId5"/>
    <sheet name="Balance âgée clients" sheetId="4" state="visible" r:id="rId6"/>
    <sheet name="Balance aux. fournisseurs" sheetId="5" state="visible" r:id="rId7"/>
    <sheet name="Journal ventes déc" sheetId="6" state="visible" r:id="rId8"/>
    <sheet name="Journal achats déc" sheetId="7" state="visible" r:id="rId9"/>
    <sheet name="Journal banque déc" sheetId="8" state="visible" r:id="rId10"/>
    <sheet name="Immobilisations" sheetId="9" state="visible" r:id="rId11"/>
    <sheet name="Inventaire stocks" sheetId="10" state="visible" r:id="rId12"/>
    <sheet name="Factures reçues janvier 2026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<sst xmlns="http://schemas.openxmlformats.org/spreadsheetml/2006/main" count="351" uniqueCount="286">
  <si>
    <t xml:space="preserve">DALOL TRADING SARL — Pièces remises à l'auditeur</t>
  </si>
  <si>
    <t xml:space="preserve">Exercice clos le 31/12/2025 — Audit contractuel — Monnaie : Franc Djibouti (FDJ)</t>
  </si>
  <si>
    <t xml:space="preserve">Réf.</t>
  </si>
  <si>
    <t xml:space="preserve">Document</t>
  </si>
  <si>
    <t xml:space="preserve">Support</t>
  </si>
  <si>
    <t xml:space="preserve">P-01</t>
  </si>
  <si>
    <t xml:space="preserve">Balance générale au 31/12/2025</t>
  </si>
  <si>
    <t xml:space="preserve">Cet onglet</t>
  </si>
  <si>
    <t xml:space="preserve">P-02</t>
  </si>
  <si>
    <t xml:space="preserve">Bilan et compte de résultat (avec comparatif 2024)</t>
  </si>
  <si>
    <t xml:space="preserve">P-03</t>
  </si>
  <si>
    <t xml:space="preserve">Balance âgée des clients</t>
  </si>
  <si>
    <t xml:space="preserve">P-04</t>
  </si>
  <si>
    <t xml:space="preserve">Balance auxiliaire des fournisseurs</t>
  </si>
  <si>
    <t xml:space="preserve">P-05</t>
  </si>
  <si>
    <t xml:space="preserve">Journal des ventes — décembre 2025</t>
  </si>
  <si>
    <t xml:space="preserve">P-06</t>
  </si>
  <si>
    <t xml:space="preserve">Journal des achats — décembre 2025</t>
  </si>
  <si>
    <t xml:space="preserve">P-07</t>
  </si>
  <si>
    <t xml:space="preserve">Journal de banque — décembre 2025</t>
  </si>
  <si>
    <t xml:space="preserve">P-08</t>
  </si>
  <si>
    <t xml:space="preserve">Tableau des immobilisations et amortissements</t>
  </si>
  <si>
    <t xml:space="preserve">P-09</t>
  </si>
  <si>
    <t xml:space="preserve">Inventaire physique des stocks au 31/12/2025</t>
  </si>
  <si>
    <t xml:space="preserve">P-10</t>
  </si>
  <si>
    <t xml:space="preserve">Factures fournisseurs reçues en janvier 2026</t>
  </si>
  <si>
    <t xml:space="preserve">P-11</t>
  </si>
  <si>
    <t xml:space="preserve">Échantillon de factures de vente et bons de livraison</t>
  </si>
  <si>
    <t xml:space="preserve">Liasse PDF / Word</t>
  </si>
  <si>
    <t xml:space="preserve">P-12</t>
  </si>
  <si>
    <t xml:space="preserve">Échantillon de factures d'achat</t>
  </si>
  <si>
    <t xml:space="preserve">P-13</t>
  </si>
  <si>
    <t xml:space="preserve">Relevé bancaire — décembre 2025</t>
  </si>
  <si>
    <t xml:space="preserve">P-14</t>
  </si>
  <si>
    <t xml:space="preserve">Tableau d'amortissement de l'emprunt</t>
  </si>
  <si>
    <t xml:space="preserve">P-15</t>
  </si>
  <si>
    <t xml:space="preserve">Contrat de bail (extrait) et PV d'assemblée (extrait)</t>
  </si>
  <si>
    <t xml:space="preserve">P-16</t>
  </si>
  <si>
    <t xml:space="preserve">Livre de paie synthétique et récapitulatif de TVA</t>
  </si>
  <si>
    <t xml:space="preserve">Remis par la direction de DALOL Trading SARL le 12/01/2026.</t>
  </si>
  <si>
    <t xml:space="preserve">P-01 — Balance générale au 31/12/2025</t>
  </si>
  <si>
    <t xml:space="preserve">DALOL TRADING SARL — FDJ</t>
  </si>
  <si>
    <t xml:space="preserve">Compte</t>
  </si>
  <si>
    <t xml:space="preserve">Intitulé</t>
  </si>
  <si>
    <t xml:space="preserve">Solde débiteur</t>
  </si>
  <si>
    <t xml:space="preserve">Solde créditeur</t>
  </si>
  <si>
    <t xml:space="preserve">101</t>
  </si>
  <si>
    <t xml:space="preserve">Capital social</t>
  </si>
  <si>
    <t xml:space="preserve">106</t>
  </si>
  <si>
    <t xml:space="preserve">Réserves</t>
  </si>
  <si>
    <t xml:space="preserve">164</t>
  </si>
  <si>
    <t xml:space="preserve">Emprunts auprès des établissements de crédit</t>
  </si>
  <si>
    <t xml:space="preserve">215</t>
  </si>
  <si>
    <t xml:space="preserve">Installations techniques, matériel et outillage</t>
  </si>
  <si>
    <t xml:space="preserve">218</t>
  </si>
  <si>
    <t xml:space="preserve">Autres immobilisations corporelles</t>
  </si>
  <si>
    <t xml:space="preserve">281</t>
  </si>
  <si>
    <t xml:space="preserve">Amortissements des immobilisations corporelles</t>
  </si>
  <si>
    <t xml:space="preserve">37</t>
  </si>
  <si>
    <t xml:space="preserve">Stocks de marchandises</t>
  </si>
  <si>
    <t xml:space="preserve">401</t>
  </si>
  <si>
    <t xml:space="preserve">Fournisseurs</t>
  </si>
  <si>
    <t xml:space="preserve">411</t>
  </si>
  <si>
    <t xml:space="preserve">Clients</t>
  </si>
  <si>
    <t xml:space="preserve">44566</t>
  </si>
  <si>
    <t xml:space="preserve">TVA déductible et autres créances fiscales</t>
  </si>
  <si>
    <t xml:space="preserve">42/43</t>
  </si>
  <si>
    <t xml:space="preserve">Personnel et organismes sociaux (dettes)</t>
  </si>
  <si>
    <t xml:space="preserve">444</t>
  </si>
  <si>
    <t xml:space="preserve">État — impôts et taxes (dettes)</t>
  </si>
  <si>
    <t xml:space="preserve">46</t>
  </si>
  <si>
    <t xml:space="preserve">Autres dettes</t>
  </si>
  <si>
    <t xml:space="preserve">491</t>
  </si>
  <si>
    <t xml:space="preserve">Dépréciation des comptes clients</t>
  </si>
  <si>
    <t xml:space="preserve">512</t>
  </si>
  <si>
    <t xml:space="preserve">Banque</t>
  </si>
  <si>
    <t xml:space="preserve">53</t>
  </si>
  <si>
    <t xml:space="preserve">Caisse</t>
  </si>
  <si>
    <t xml:space="preserve">607</t>
  </si>
  <si>
    <t xml:space="preserve">Achats de marchandises</t>
  </si>
  <si>
    <t xml:space="preserve">6037</t>
  </si>
  <si>
    <t xml:space="preserve">Variation des stocks de marchandises</t>
  </si>
  <si>
    <t xml:space="preserve">61/62</t>
  </si>
  <si>
    <t xml:space="preserve">Autres charges externes</t>
  </si>
  <si>
    <t xml:space="preserve">63</t>
  </si>
  <si>
    <t xml:space="preserve">Impôts, taxes et versements assimilés</t>
  </si>
  <si>
    <t xml:space="preserve">64</t>
  </si>
  <si>
    <t xml:space="preserve">Charges de personnel</t>
  </si>
  <si>
    <t xml:space="preserve">661</t>
  </si>
  <si>
    <t xml:space="preserve">Charges d'intérêts</t>
  </si>
  <si>
    <t xml:space="preserve">681</t>
  </si>
  <si>
    <t xml:space="preserve">Dotations aux amortissements</t>
  </si>
  <si>
    <t xml:space="preserve">6817</t>
  </si>
  <si>
    <t xml:space="preserve">Dotations aux dépréciations des actifs circulants</t>
  </si>
  <si>
    <t xml:space="preserve">69</t>
  </si>
  <si>
    <t xml:space="preserve">Impôts sur les bénéfices</t>
  </si>
  <si>
    <t xml:space="preserve">707</t>
  </si>
  <si>
    <t xml:space="preserve">Ventes de marchandises</t>
  </si>
  <si>
    <t xml:space="preserve">TOTAUX</t>
  </si>
  <si>
    <t xml:space="preserve">Contrôle (débit - crédit, doit = 0)</t>
  </si>
  <si>
    <t xml:space="preserve">P-02 — Bilan et compte de résultat</t>
  </si>
  <si>
    <t xml:space="preserve">BILAN — ACTIF</t>
  </si>
  <si>
    <t xml:space="preserve">Net 2025</t>
  </si>
  <si>
    <t xml:space="preserve">Net 2024</t>
  </si>
  <si>
    <t xml:space="preserve">Immobilisations corporelles (nettes)</t>
  </si>
  <si>
    <t xml:space="preserve">Clients et comptes rattachés (nets)</t>
  </si>
  <si>
    <t xml:space="preserve">Autres créances</t>
  </si>
  <si>
    <t xml:space="preserve">TOTAL ACTIF</t>
  </si>
  <si>
    <t xml:space="preserve">BILAN — PASSIF</t>
  </si>
  <si>
    <t xml:space="preserve">Résultat de l'exercice</t>
  </si>
  <si>
    <t xml:space="preserve">Fournisseurs et comptes rattachés</t>
  </si>
  <si>
    <t xml:space="preserve">Dettes fiscales et sociales</t>
  </si>
  <si>
    <t xml:space="preserve">TOTAL PASSIF</t>
  </si>
  <si>
    <t xml:space="preserve">Contrôle équilibre (doit = 0)</t>
  </si>
  <si>
    <t xml:space="preserve">COMPTE DE RÉSULTAT</t>
  </si>
  <si>
    <t xml:space="preserve">2025</t>
  </si>
  <si>
    <t xml:space="preserve">2024</t>
  </si>
  <si>
    <t xml:space="preserve">Coût d'achat des marchandises vendues</t>
  </si>
  <si>
    <t xml:space="preserve">MARGE COMMERCIALE</t>
  </si>
  <si>
    <t xml:space="preserve">Impôts et taxes</t>
  </si>
  <si>
    <t xml:space="preserve">Dotations aux dépréciations</t>
  </si>
  <si>
    <t xml:space="preserve">RÉSULTAT D'EXPLOITATION</t>
  </si>
  <si>
    <t xml:space="preserve">Charges financières</t>
  </si>
  <si>
    <t xml:space="preserve">RÉSULTAT AVANT IMPÔT</t>
  </si>
  <si>
    <t xml:space="preserve">Impôt sur les bénéfices</t>
  </si>
  <si>
    <t xml:space="preserve">RÉSULTAT NET</t>
  </si>
  <si>
    <t xml:space="preserve">P-03 — Balance âgée des clients au 31/12/2025</t>
  </si>
  <si>
    <t xml:space="preserve">Détail du compte 411 — FDJ</t>
  </si>
  <si>
    <t xml:space="preserve">Code</t>
  </si>
  <si>
    <t xml:space="preserve">Client</t>
  </si>
  <si>
    <t xml:space="preserve">Total</t>
  </si>
  <si>
    <t xml:space="preserve">Non échu</t>
  </si>
  <si>
    <t xml:space="preserve">0-90 j</t>
  </si>
  <si>
    <t xml:space="preserve">91-180 j</t>
  </si>
  <si>
    <t xml:space="preserve">181-360 j</t>
  </si>
  <si>
    <t xml:space="preserve">&gt; 360 j</t>
  </si>
  <si>
    <t xml:space="preserve">CL01</t>
  </si>
  <si>
    <t xml:space="preserve">Électro Souk</t>
  </si>
  <si>
    <t xml:space="preserve">CL02</t>
  </si>
  <si>
    <t xml:space="preserve">Maison Confort</t>
  </si>
  <si>
    <t xml:space="preserve">CL03</t>
  </si>
  <si>
    <t xml:space="preserve">Boutique Numérique</t>
  </si>
  <si>
    <t xml:space="preserve">CL04</t>
  </si>
  <si>
    <t xml:space="preserve">Hôtel Atlantic</t>
  </si>
  <si>
    <t xml:space="preserve">CL05</t>
  </si>
  <si>
    <t xml:space="preserve">Téléphonie Lawaha</t>
  </si>
  <si>
    <t xml:space="preserve">CL06</t>
  </si>
  <si>
    <t xml:space="preserve">Supermarché Nassib</t>
  </si>
  <si>
    <t xml:space="preserve">CL07</t>
  </si>
  <si>
    <t xml:space="preserve">Ménagers du Golfe</t>
  </si>
  <si>
    <t xml:space="preserve">CL08</t>
  </si>
  <si>
    <t xml:space="preserve">Centre Bureautique</t>
  </si>
  <si>
    <t xml:space="preserve">CL09</t>
  </si>
  <si>
    <t xml:space="preserve">Réseau Télécom Plus</t>
  </si>
  <si>
    <t xml:space="preserve">CL10</t>
  </si>
  <si>
    <t xml:space="preserve">Électroménager Sud</t>
  </si>
  <si>
    <t xml:space="preserve">CL11</t>
  </si>
  <si>
    <t xml:space="preserve">Distrib Appareils Est</t>
  </si>
  <si>
    <t xml:space="preserve">CL12</t>
  </si>
  <si>
    <t xml:space="preserve">Comptoir Digital</t>
  </si>
  <si>
    <t xml:space="preserve">TOTAL (= compte 411)</t>
  </si>
  <si>
    <t xml:space="preserve">P-04 — Balance auxiliaire fournisseurs au 31/12/2025</t>
  </si>
  <si>
    <t xml:space="preserve">Détail du compte 401 — FDJ</t>
  </si>
  <si>
    <t xml:space="preserve">Fournisseur</t>
  </si>
  <si>
    <t xml:space="preserve">Solde 2025</t>
  </si>
  <si>
    <t xml:space="preserve">FR01</t>
  </si>
  <si>
    <t xml:space="preserve">Shenzhen Import Co</t>
  </si>
  <si>
    <t xml:space="preserve">FR02</t>
  </si>
  <si>
    <t xml:space="preserve">Gulf Electronics LLC</t>
  </si>
  <si>
    <t xml:space="preserve">FR03</t>
  </si>
  <si>
    <t xml:space="preserve">Transit &amp; Douane DJ</t>
  </si>
  <si>
    <t xml:space="preserve">FR04</t>
  </si>
  <si>
    <t xml:space="preserve">Câbles &amp; Accessoires SARL</t>
  </si>
  <si>
    <t xml:space="preserve">FR05</t>
  </si>
  <si>
    <t xml:space="preserve">Logistique Rouge SARL</t>
  </si>
  <si>
    <t xml:space="preserve">FR06</t>
  </si>
  <si>
    <t xml:space="preserve">Énergie Pièces Plus</t>
  </si>
  <si>
    <t xml:space="preserve">FR07</t>
  </si>
  <si>
    <t xml:space="preserve">Emballind SARL</t>
  </si>
  <si>
    <t xml:space="preserve">FR08</t>
  </si>
  <si>
    <t xml:space="preserve">Bureau Services Pro</t>
  </si>
  <si>
    <t xml:space="preserve">FR09</t>
  </si>
  <si>
    <t xml:space="preserve">Maintenance Froid SARL</t>
  </si>
  <si>
    <t xml:space="preserve">FR10</t>
  </si>
  <si>
    <t xml:space="preserve">Publicité Mer SARL</t>
  </si>
  <si>
    <t xml:space="preserve">TOTAL (= compte 401)</t>
  </si>
  <si>
    <t xml:space="preserve">P-05 — Journal des ventes — décembre 2025</t>
  </si>
  <si>
    <t xml:space="preserve">Extrait — FDJ</t>
  </si>
  <si>
    <t xml:space="preserve">Date</t>
  </si>
  <si>
    <t xml:space="preserve">N° facture</t>
  </si>
  <si>
    <t xml:space="preserve">Montant</t>
  </si>
  <si>
    <t xml:space="preserve">20/12/2025</t>
  </si>
  <si>
    <t xml:space="preserve">FV-25-1188</t>
  </si>
  <si>
    <t xml:space="preserve">22/12/2025</t>
  </si>
  <si>
    <t xml:space="preserve">FV-25-1190</t>
  </si>
  <si>
    <t xml:space="preserve">23/12/2025</t>
  </si>
  <si>
    <t xml:space="preserve">FV-25-1192</t>
  </si>
  <si>
    <t xml:space="preserve">27/12/2025</t>
  </si>
  <si>
    <t xml:space="preserve">FV-25-1198</t>
  </si>
  <si>
    <t xml:space="preserve">29/12/2025</t>
  </si>
  <si>
    <t xml:space="preserve">FV-25-1201</t>
  </si>
  <si>
    <t xml:space="preserve">31/12/2025</t>
  </si>
  <si>
    <t xml:space="preserve">FV-25-1204</t>
  </si>
  <si>
    <t xml:space="preserve">FV-25-1205</t>
  </si>
  <si>
    <t xml:space="preserve">P-06 — Journal des achats — décembre 2025</t>
  </si>
  <si>
    <t xml:space="preserve">18/12/2025</t>
  </si>
  <si>
    <t xml:space="preserve">GE-7741</t>
  </si>
  <si>
    <t xml:space="preserve">SH-3320</t>
  </si>
  <si>
    <t xml:space="preserve">26/12/2025</t>
  </si>
  <si>
    <t xml:space="preserve">CA-556</t>
  </si>
  <si>
    <t xml:space="preserve">28/12/2025</t>
  </si>
  <si>
    <t xml:space="preserve">TD-209</t>
  </si>
  <si>
    <t xml:space="preserve">30/12/2025</t>
  </si>
  <si>
    <t xml:space="preserve">EP-114</t>
  </si>
  <si>
    <t xml:space="preserve">P-07 — Journal de banque — décembre 2025</t>
  </si>
  <si>
    <t xml:space="preserve">Compte 512 — FDJ</t>
  </si>
  <si>
    <t xml:space="preserve">Libellé</t>
  </si>
  <si>
    <t xml:space="preserve">Débit</t>
  </si>
  <si>
    <t xml:space="preserve">Crédit</t>
  </si>
  <si>
    <t xml:space="preserve">Solde</t>
  </si>
  <si>
    <t xml:space="preserve">Solde au 01/12/2025</t>
  </si>
  <si>
    <t xml:space="preserve">03/12/2025</t>
  </si>
  <si>
    <t xml:space="preserve">Encaissement clients (virements)</t>
  </si>
  <si>
    <t xml:space="preserve">07/12/2025</t>
  </si>
  <si>
    <t xml:space="preserve">Règlement fournisseur Gulf Electronics</t>
  </si>
  <si>
    <t xml:space="preserve">10/12/2025</t>
  </si>
  <si>
    <t xml:space="preserve">Encaissement clients</t>
  </si>
  <si>
    <t xml:space="preserve">14/12/2025</t>
  </si>
  <si>
    <t xml:space="preserve">Salaires du mois</t>
  </si>
  <si>
    <t xml:space="preserve">Règlement fournisseur Shenzhen Import</t>
  </si>
  <si>
    <t xml:space="preserve">Règlement fournisseur Transit &amp; Douane</t>
  </si>
  <si>
    <t xml:space="preserve">Échéance emprunt (capital + intérêts)</t>
  </si>
  <si>
    <t xml:space="preserve">Chèque n°4821 — fournisseur Câbles &amp; Accessoires</t>
  </si>
  <si>
    <t xml:space="preserve">Remise de chèques clients</t>
  </si>
  <si>
    <t xml:space="preserve">Solde au 31/12/2025</t>
  </si>
  <si>
    <t xml:space="preserve">P-08 — Tableau des immobilisations et amortissements</t>
  </si>
  <si>
    <t xml:space="preserve">Au 31/12/2025 — FDJ</t>
  </si>
  <si>
    <t xml:space="preserve">Immobilisation</t>
  </si>
  <si>
    <t xml:space="preserve">Acq.</t>
  </si>
  <si>
    <t xml:space="preserve">Durée</t>
  </si>
  <si>
    <t xml:space="preserve">Valeur brute</t>
  </si>
  <si>
    <t xml:space="preserve">Amort. antér.</t>
  </si>
  <si>
    <t xml:space="preserve">Dotation 2025</t>
  </si>
  <si>
    <t xml:space="preserve">Amort. cumulé</t>
  </si>
  <si>
    <t xml:space="preserve">Valeur nette</t>
  </si>
  <si>
    <t xml:space="preserve">Aménagements</t>
  </si>
  <si>
    <t xml:space="preserve">2022</t>
  </si>
  <si>
    <t xml:space="preserve">10 ans</t>
  </si>
  <si>
    <t xml:space="preserve">Matériel de manutention</t>
  </si>
  <si>
    <t xml:space="preserve">2023</t>
  </si>
  <si>
    <t xml:space="preserve">5 ans</t>
  </si>
  <si>
    <t xml:space="preserve">Mobilier et agencement</t>
  </si>
  <si>
    <t xml:space="preserve">Matériel informatique</t>
  </si>
  <si>
    <t xml:space="preserve">4 ans</t>
  </si>
  <si>
    <t xml:space="preserve">Installations diverses</t>
  </si>
  <si>
    <t xml:space="preserve">15 ans</t>
  </si>
  <si>
    <t xml:space="preserve">P-09 — Inventaire physique des stocks au 31/12/2025</t>
  </si>
  <si>
    <t xml:space="preserve">Comptage valorisé — FDJ</t>
  </si>
  <si>
    <t xml:space="preserve">Référence / catégorie</t>
  </si>
  <si>
    <t xml:space="preserve">Quantité</t>
  </si>
  <si>
    <t xml:space="preserve">Prix unitaire</t>
  </si>
  <si>
    <t xml:space="preserve">Valeur</t>
  </si>
  <si>
    <t xml:space="preserve">Téléviseurs LED</t>
  </si>
  <si>
    <t xml:space="preserve">Réfrigérateurs</t>
  </si>
  <si>
    <t xml:space="preserve">Climatiseurs</t>
  </si>
  <si>
    <t xml:space="preserve">Machines à laver</t>
  </si>
  <si>
    <t xml:space="preserve">Petit électroménager</t>
  </si>
  <si>
    <t xml:space="preserve">Téléphones et accessoires</t>
  </si>
  <si>
    <t xml:space="preserve">Modèles fin de série (anciens)</t>
  </si>
  <si>
    <t xml:space="preserve">TOTAL (= compte 37)</t>
  </si>
  <si>
    <t xml:space="preserve">P-10 — Factures fournisseurs reçues en janvier 2026</t>
  </si>
  <si>
    <t xml:space="preserve">FDJ</t>
  </si>
  <si>
    <t xml:space="preserve">Date facture</t>
  </si>
  <si>
    <t xml:space="preserve">Fournisseur / objet</t>
  </si>
  <si>
    <t xml:space="preserve">Date livraison</t>
  </si>
  <si>
    <t xml:space="preserve">05/01/2026</t>
  </si>
  <si>
    <t xml:space="preserve">GE-7802</t>
  </si>
  <si>
    <t xml:space="preserve">Gulf Electronics — réassort janvier</t>
  </si>
  <si>
    <t xml:space="preserve">04/01/2026</t>
  </si>
  <si>
    <t xml:space="preserve">09/01/2026</t>
  </si>
  <si>
    <t xml:space="preserve">SH-3361</t>
  </si>
  <si>
    <t xml:space="preserve">Shenzhen Import — marchandises (BR n°5589)</t>
  </si>
  <si>
    <t xml:space="preserve">14/01/2026</t>
  </si>
  <si>
    <t xml:space="preserve">CA-571</t>
  </si>
  <si>
    <t xml:space="preserve">Câbles &amp; Accessoires — janvier</t>
  </si>
  <si>
    <t xml:space="preserve">12/01/2026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</si>
</sst>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8504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1"/>
      <color rgb="FF000000"/>
      <name val="Arial"/>
      <family val="0"/>
      <charset val="1"/>
    </font>
    <font>
      <b val="true"/>
      <sz val="15"/>
      <color rgb="FF08504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85041"/>
        <bgColor rgb="FF003300"/>
      </patternFill>
    </fill>
    <fill>
      <patternFill patternType="solid">
        <fgColor rgb="FFF2F6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6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8504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70"/>
    <col collapsed="false" customWidth="true" hidden="false" outlineLevel="0" max="4" min="4" style="0" width="24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  <c r="D5" s="3" t="s">
        <v>4</v>
      </c>
    </row>
    <row r="6" customFormat="false" ht="15" hidden="false" customHeight="false" outlineLevel="0" collapsed="false">
      <c r="B6" s="4" t="s">
        <v>5</v>
      </c>
      <c r="C6" s="5" t="s">
        <v>6</v>
      </c>
      <c r="D6" s="6" t="s">
        <v>7</v>
      </c>
    </row>
    <row r="7" customFormat="false" ht="15" hidden="false" customHeight="false" outlineLevel="0" collapsed="false">
      <c r="B7" s="4" t="s">
        <v>8</v>
      </c>
      <c r="C7" s="5" t="s">
        <v>9</v>
      </c>
      <c r="D7" s="6" t="s">
        <v>7</v>
      </c>
    </row>
    <row r="8" customFormat="false" ht="15" hidden="false" customHeight="false" outlineLevel="0" collapsed="false">
      <c r="B8" s="4" t="s">
        <v>10</v>
      </c>
      <c r="C8" s="5" t="s">
        <v>11</v>
      </c>
      <c r="D8" s="6" t="s">
        <v>7</v>
      </c>
    </row>
    <row r="9" customFormat="false" ht="15" hidden="false" customHeight="false" outlineLevel="0" collapsed="false">
      <c r="B9" s="4" t="s">
        <v>12</v>
      </c>
      <c r="C9" s="5" t="s">
        <v>13</v>
      </c>
      <c r="D9" s="6" t="s">
        <v>7</v>
      </c>
    </row>
    <row r="10" customFormat="false" ht="15" hidden="false" customHeight="false" outlineLevel="0" collapsed="false">
      <c r="B10" s="4" t="s">
        <v>14</v>
      </c>
      <c r="C10" s="5" t="s">
        <v>15</v>
      </c>
      <c r="D10" s="6" t="s">
        <v>7</v>
      </c>
    </row>
    <row r="11" customFormat="false" ht="15" hidden="false" customHeight="false" outlineLevel="0" collapsed="false">
      <c r="B11" s="4" t="s">
        <v>16</v>
      </c>
      <c r="C11" s="5" t="s">
        <v>17</v>
      </c>
      <c r="D11" s="6" t="s">
        <v>7</v>
      </c>
    </row>
    <row r="12" customFormat="false" ht="15" hidden="false" customHeight="false" outlineLevel="0" collapsed="false">
      <c r="B12" s="4" t="s">
        <v>18</v>
      </c>
      <c r="C12" s="5" t="s">
        <v>19</v>
      </c>
      <c r="D12" s="6" t="s">
        <v>7</v>
      </c>
    </row>
    <row r="13" customFormat="false" ht="15" hidden="false" customHeight="false" outlineLevel="0" collapsed="false">
      <c r="B13" s="4" t="s">
        <v>20</v>
      </c>
      <c r="C13" s="5" t="s">
        <v>21</v>
      </c>
      <c r="D13" s="6" t="s">
        <v>7</v>
      </c>
    </row>
    <row r="14" customFormat="false" ht="15" hidden="false" customHeight="false" outlineLevel="0" collapsed="false">
      <c r="B14" s="4" t="s">
        <v>22</v>
      </c>
      <c r="C14" s="5" t="s">
        <v>23</v>
      </c>
      <c r="D14" s="6" t="s">
        <v>7</v>
      </c>
    </row>
    <row r="15" customFormat="false" ht="15" hidden="false" customHeight="false" outlineLevel="0" collapsed="false">
      <c r="B15" s="4" t="s">
        <v>24</v>
      </c>
      <c r="C15" s="5" t="s">
        <v>25</v>
      </c>
      <c r="D15" s="6" t="s">
        <v>7</v>
      </c>
    </row>
    <row r="16" customFormat="false" ht="15" hidden="false" customHeight="false" outlineLevel="0" collapsed="false">
      <c r="B16" s="4" t="s">
        <v>26</v>
      </c>
      <c r="C16" s="5" t="s">
        <v>27</v>
      </c>
      <c r="D16" s="6" t="s">
        <v>28</v>
      </c>
    </row>
    <row r="17" customFormat="false" ht="15" hidden="false" customHeight="false" outlineLevel="0" collapsed="false">
      <c r="B17" s="4" t="s">
        <v>29</v>
      </c>
      <c r="C17" s="5" t="s">
        <v>30</v>
      </c>
      <c r="D17" s="6" t="s">
        <v>28</v>
      </c>
    </row>
    <row r="18" customFormat="false" ht="15" hidden="false" customHeight="false" outlineLevel="0" collapsed="false">
      <c r="B18" s="4" t="s">
        <v>31</v>
      </c>
      <c r="C18" s="5" t="s">
        <v>32</v>
      </c>
      <c r="D18" s="6" t="s">
        <v>28</v>
      </c>
    </row>
    <row r="19" customFormat="false" ht="15" hidden="false" customHeight="false" outlineLevel="0" collapsed="false">
      <c r="B19" s="4" t="s">
        <v>33</v>
      </c>
      <c r="C19" s="5" t="s">
        <v>34</v>
      </c>
      <c r="D19" s="6" t="s">
        <v>28</v>
      </c>
    </row>
    <row r="20" customFormat="false" ht="15" hidden="false" customHeight="false" outlineLevel="0" collapsed="false">
      <c r="B20" s="4" t="s">
        <v>35</v>
      </c>
      <c r="C20" s="5" t="s">
        <v>36</v>
      </c>
      <c r="D20" s="6" t="s">
        <v>28</v>
      </c>
    </row>
    <row r="21" customFormat="false" ht="15" hidden="false" customHeight="false" outlineLevel="0" collapsed="false">
      <c r="B21" s="4" t="s">
        <v>37</v>
      </c>
      <c r="C21" s="5" t="s">
        <v>38</v>
      </c>
      <c r="D21" s="6" t="s">
        <v>28</v>
      </c>
    </row>
    <row r="23" customFormat="false" ht="15" hidden="false" customHeight="false" outlineLevel="0" collapsed="false">
      <c r="C23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4" min="3" style="0" width="18"/>
  </cols>
  <sheetData>
    <row r="1" customFormat="false" ht="18.55" hidden="false" customHeight="false" outlineLevel="0" collapsed="false">
      <c r="A1" s="7" t="s">
        <v>40</v>
      </c>
    </row>
    <row r="2" customFormat="false" ht="15" hidden="false" customHeight="false" outlineLevel="0" collapsed="false">
      <c r="A2" s="2" t="s">
        <v>41</v>
      </c>
    </row>
    <row r="4" customFormat="false" ht="15" hidden="false" customHeight="false" outlineLevel="0" collapsed="false">
      <c r="A4" s="3" t="s">
        <v>42</v>
      </c>
      <c r="B4" s="3" t="s">
        <v>43</v>
      </c>
      <c r="C4" s="8" t="s">
        <v>44</v>
      </c>
      <c r="D4" s="8" t="s">
        <v>45</v>
      </c>
    </row>
    <row r="5" customFormat="false" ht="15" hidden="false" customHeight="false" outlineLevel="0" collapsed="false">
      <c r="A5" s="4" t="s">
        <v>46</v>
      </c>
      <c r="B5" s="5" t="s">
        <v>47</v>
      </c>
      <c r="C5" s="9"/>
      <c r="D5" s="9" t="n">
        <v>50000000</v>
      </c>
    </row>
    <row r="6" customFormat="false" ht="15" hidden="false" customHeight="false" outlineLevel="0" collapsed="false">
      <c r="A6" s="4" t="s">
        <v>48</v>
      </c>
      <c r="B6" s="5" t="s">
        <v>49</v>
      </c>
      <c r="C6" s="9"/>
      <c r="D6" s="9" t="n">
        <v>28000000</v>
      </c>
    </row>
    <row r="7" customFormat="false" ht="15" hidden="false" customHeight="false" outlineLevel="0" collapsed="false">
      <c r="A7" s="4" t="s">
        <v>50</v>
      </c>
      <c r="B7" s="5" t="s">
        <v>51</v>
      </c>
      <c r="C7" s="9"/>
      <c r="D7" s="9" t="n">
        <v>50000000</v>
      </c>
    </row>
    <row r="8" customFormat="false" ht="15" hidden="false" customHeight="false" outlineLevel="0" collapsed="false">
      <c r="A8" s="4" t="s">
        <v>52</v>
      </c>
      <c r="B8" s="5" t="s">
        <v>53</v>
      </c>
      <c r="C8" s="9" t="n">
        <v>35000000</v>
      </c>
      <c r="D8" s="9"/>
    </row>
    <row r="9" customFormat="false" ht="15" hidden="false" customHeight="false" outlineLevel="0" collapsed="false">
      <c r="A9" s="4" t="s">
        <v>54</v>
      </c>
      <c r="B9" s="5" t="s">
        <v>55</v>
      </c>
      <c r="C9" s="9" t="n">
        <v>25000000</v>
      </c>
      <c r="D9" s="9"/>
    </row>
    <row r="10" customFormat="false" ht="15" hidden="false" customHeight="false" outlineLevel="0" collapsed="false">
      <c r="A10" s="4" t="s">
        <v>56</v>
      </c>
      <c r="B10" s="5" t="s">
        <v>57</v>
      </c>
      <c r="C10" s="9"/>
      <c r="D10" s="9" t="n">
        <v>22000000</v>
      </c>
    </row>
    <row r="11" customFormat="false" ht="15" hidden="false" customHeight="false" outlineLevel="0" collapsed="false">
      <c r="A11" s="4" t="s">
        <v>58</v>
      </c>
      <c r="B11" s="5" t="s">
        <v>59</v>
      </c>
      <c r="C11" s="9" t="n">
        <v>95000000</v>
      </c>
      <c r="D11" s="9"/>
    </row>
    <row r="12" customFormat="false" ht="15" hidden="false" customHeight="false" outlineLevel="0" collapsed="false">
      <c r="A12" s="4" t="s">
        <v>60</v>
      </c>
      <c r="B12" s="5" t="s">
        <v>61</v>
      </c>
      <c r="C12" s="9"/>
      <c r="D12" s="9" t="n">
        <v>60000000</v>
      </c>
    </row>
    <row r="13" customFormat="false" ht="15" hidden="false" customHeight="false" outlineLevel="0" collapsed="false">
      <c r="A13" s="4" t="s">
        <v>62</v>
      </c>
      <c r="B13" s="5" t="s">
        <v>63</v>
      </c>
      <c r="C13" s="9" t="n">
        <v>72000000</v>
      </c>
      <c r="D13" s="9"/>
    </row>
    <row r="14" customFormat="false" ht="15" hidden="false" customHeight="false" outlineLevel="0" collapsed="false">
      <c r="A14" s="4" t="s">
        <v>64</v>
      </c>
      <c r="B14" s="5" t="s">
        <v>65</v>
      </c>
      <c r="C14" s="9" t="n">
        <v>6000000</v>
      </c>
      <c r="D14" s="9"/>
    </row>
    <row r="15" customFormat="false" ht="15" hidden="false" customHeight="false" outlineLevel="0" collapsed="false">
      <c r="A15" s="4" t="s">
        <v>66</v>
      </c>
      <c r="B15" s="5" t="s">
        <v>67</v>
      </c>
      <c r="C15" s="9"/>
      <c r="D15" s="9" t="n">
        <v>9000000</v>
      </c>
    </row>
    <row r="16" customFormat="false" ht="15" hidden="false" customHeight="false" outlineLevel="0" collapsed="false">
      <c r="A16" s="4" t="s">
        <v>68</v>
      </c>
      <c r="B16" s="5" t="s">
        <v>69</v>
      </c>
      <c r="C16" s="9"/>
      <c r="D16" s="9" t="n">
        <v>6000000</v>
      </c>
    </row>
    <row r="17" customFormat="false" ht="15" hidden="false" customHeight="false" outlineLevel="0" collapsed="false">
      <c r="A17" s="4" t="s">
        <v>70</v>
      </c>
      <c r="B17" s="5" t="s">
        <v>71</v>
      </c>
      <c r="C17" s="9"/>
      <c r="D17" s="9" t="n">
        <v>5000000</v>
      </c>
    </row>
    <row r="18" customFormat="false" ht="15" hidden="false" customHeight="false" outlineLevel="0" collapsed="false">
      <c r="A18" s="4" t="s">
        <v>72</v>
      </c>
      <c r="B18" s="5" t="s">
        <v>73</v>
      </c>
      <c r="C18" s="9"/>
      <c r="D18" s="9" t="n">
        <v>3000000</v>
      </c>
    </row>
    <row r="19" customFormat="false" ht="15" hidden="false" customHeight="false" outlineLevel="0" collapsed="false">
      <c r="A19" s="4" t="s">
        <v>74</v>
      </c>
      <c r="B19" s="5" t="s">
        <v>75</v>
      </c>
      <c r="C19" s="9" t="n">
        <v>28000000</v>
      </c>
      <c r="D19" s="9"/>
    </row>
    <row r="20" customFormat="false" ht="15" hidden="false" customHeight="false" outlineLevel="0" collapsed="false">
      <c r="A20" s="4" t="s">
        <v>76</v>
      </c>
      <c r="B20" s="5" t="s">
        <v>77</v>
      </c>
      <c r="C20" s="9" t="n">
        <v>2000000</v>
      </c>
      <c r="D20" s="9"/>
    </row>
    <row r="21" customFormat="false" ht="15" hidden="false" customHeight="false" outlineLevel="0" collapsed="false">
      <c r="A21" s="4" t="s">
        <v>78</v>
      </c>
      <c r="B21" s="5" t="s">
        <v>79</v>
      </c>
      <c r="C21" s="9" t="n">
        <v>400000000</v>
      </c>
      <c r="D21" s="9"/>
    </row>
    <row r="22" customFormat="false" ht="15" hidden="false" customHeight="false" outlineLevel="0" collapsed="false">
      <c r="A22" s="4" t="s">
        <v>80</v>
      </c>
      <c r="B22" s="5" t="s">
        <v>81</v>
      </c>
      <c r="C22" s="9"/>
      <c r="D22" s="9" t="n">
        <v>13000000</v>
      </c>
    </row>
    <row r="23" customFormat="false" ht="15" hidden="false" customHeight="false" outlineLevel="0" collapsed="false">
      <c r="A23" s="4" t="s">
        <v>82</v>
      </c>
      <c r="B23" s="5" t="s">
        <v>83</v>
      </c>
      <c r="C23" s="9" t="n">
        <v>46000000</v>
      </c>
      <c r="D23" s="9"/>
    </row>
    <row r="24" customFormat="false" ht="15" hidden="false" customHeight="false" outlineLevel="0" collapsed="false">
      <c r="A24" s="4" t="s">
        <v>84</v>
      </c>
      <c r="B24" s="5" t="s">
        <v>85</v>
      </c>
      <c r="C24" s="9" t="n">
        <v>3000000</v>
      </c>
      <c r="D24" s="9"/>
    </row>
    <row r="25" customFormat="false" ht="15" hidden="false" customHeight="false" outlineLevel="0" collapsed="false">
      <c r="A25" s="4" t="s">
        <v>86</v>
      </c>
      <c r="B25" s="5" t="s">
        <v>87</v>
      </c>
      <c r="C25" s="9" t="n">
        <v>38000000</v>
      </c>
      <c r="D25" s="9"/>
    </row>
    <row r="26" customFormat="false" ht="15" hidden="false" customHeight="false" outlineLevel="0" collapsed="false">
      <c r="A26" s="4" t="s">
        <v>88</v>
      </c>
      <c r="B26" s="5" t="s">
        <v>89</v>
      </c>
      <c r="C26" s="9" t="n">
        <v>3500000</v>
      </c>
      <c r="D26" s="9"/>
    </row>
    <row r="27" customFormat="false" ht="15" hidden="false" customHeight="false" outlineLevel="0" collapsed="false">
      <c r="A27" s="4" t="s">
        <v>90</v>
      </c>
      <c r="B27" s="5" t="s">
        <v>91</v>
      </c>
      <c r="C27" s="9" t="n">
        <v>8000000</v>
      </c>
      <c r="D27" s="9"/>
    </row>
    <row r="28" customFormat="false" ht="15" hidden="false" customHeight="false" outlineLevel="0" collapsed="false">
      <c r="A28" s="4" t="s">
        <v>92</v>
      </c>
      <c r="B28" s="5" t="s">
        <v>93</v>
      </c>
      <c r="C28" s="9" t="n">
        <v>3000000</v>
      </c>
      <c r="D28" s="9"/>
    </row>
    <row r="29" customFormat="false" ht="15" hidden="false" customHeight="false" outlineLevel="0" collapsed="false">
      <c r="A29" s="4" t="s">
        <v>94</v>
      </c>
      <c r="B29" s="5" t="s">
        <v>95</v>
      </c>
      <c r="C29" s="9" t="n">
        <v>1500000</v>
      </c>
      <c r="D29" s="9"/>
    </row>
    <row r="30" customFormat="false" ht="15" hidden="false" customHeight="false" outlineLevel="0" collapsed="false">
      <c r="A30" s="4" t="s">
        <v>96</v>
      </c>
      <c r="B30" s="5" t="s">
        <v>97</v>
      </c>
      <c r="C30" s="9"/>
      <c r="D30" s="9" t="n">
        <v>520000000</v>
      </c>
    </row>
    <row r="31" customFormat="false" ht="15" hidden="false" customHeight="false" outlineLevel="0" collapsed="false">
      <c r="A31" s="10"/>
      <c r="B31" s="11" t="s">
        <v>98</v>
      </c>
      <c r="C31" s="12" t="n">
        <f aca="false">SUM(C5:C30)</f>
        <v>766000000</v>
      </c>
      <c r="D31" s="12" t="n">
        <f aca="false">SUM(D5:D30)</f>
        <v>766000000</v>
      </c>
    </row>
    <row r="33" customFormat="false" ht="15" hidden="false" customHeight="false" outlineLevel="0" collapsed="false">
      <c r="B33" s="6" t="s">
        <v>99</v>
      </c>
      <c r="C33" s="13" t="n">
        <f aca="false">C31-D31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8"/>
  </cols>
  <sheetData>
    <row r="1" customFormat="false" ht="18.55" hidden="false" customHeight="false" outlineLevel="0" collapsed="false">
      <c r="A1" s="7" t="s">
        <v>100</v>
      </c>
    </row>
    <row r="2" customFormat="false" ht="15" hidden="false" customHeight="false" outlineLevel="0" collapsed="false">
      <c r="A2" s="2" t="s">
        <v>41</v>
      </c>
    </row>
    <row r="4" customFormat="false" ht="15" hidden="false" customHeight="false" outlineLevel="0" collapsed="false">
      <c r="A4" s="3" t="s">
        <v>101</v>
      </c>
      <c r="B4" s="8" t="s">
        <v>102</v>
      </c>
      <c r="C4" s="8" t="s">
        <v>103</v>
      </c>
    </row>
    <row r="5" customFormat="false" ht="15" hidden="false" customHeight="false" outlineLevel="0" collapsed="false">
      <c r="A5" s="5" t="s">
        <v>104</v>
      </c>
      <c r="B5" s="9" t="n">
        <v>38000000</v>
      </c>
      <c r="C5" s="9" t="n">
        <v>32000000</v>
      </c>
    </row>
    <row r="6" customFormat="false" ht="15" hidden="false" customHeight="false" outlineLevel="0" collapsed="false">
      <c r="A6" s="5" t="s">
        <v>59</v>
      </c>
      <c r="B6" s="9" t="n">
        <v>95000000</v>
      </c>
      <c r="C6" s="9" t="n">
        <v>82000000</v>
      </c>
    </row>
    <row r="7" customFormat="false" ht="15" hidden="false" customHeight="false" outlineLevel="0" collapsed="false">
      <c r="A7" s="5" t="s">
        <v>105</v>
      </c>
      <c r="B7" s="9" t="n">
        <v>69000000</v>
      </c>
      <c r="C7" s="9" t="n">
        <v>55000000</v>
      </c>
    </row>
    <row r="8" customFormat="false" ht="15" hidden="false" customHeight="false" outlineLevel="0" collapsed="false">
      <c r="A8" s="5" t="s">
        <v>106</v>
      </c>
      <c r="B8" s="9" t="n">
        <v>6000000</v>
      </c>
      <c r="C8" s="9" t="n">
        <v>5000000</v>
      </c>
    </row>
    <row r="9" customFormat="false" ht="15" hidden="false" customHeight="false" outlineLevel="0" collapsed="false">
      <c r="A9" s="5" t="s">
        <v>75</v>
      </c>
      <c r="B9" s="9" t="n">
        <v>28000000</v>
      </c>
      <c r="C9" s="9" t="n">
        <v>22000000</v>
      </c>
    </row>
    <row r="10" customFormat="false" ht="15" hidden="false" customHeight="false" outlineLevel="0" collapsed="false">
      <c r="A10" s="5" t="s">
        <v>77</v>
      </c>
      <c r="B10" s="9" t="n">
        <v>2000000</v>
      </c>
      <c r="C10" s="9" t="n">
        <v>1500000</v>
      </c>
    </row>
    <row r="11" customFormat="false" ht="15" hidden="false" customHeight="false" outlineLevel="0" collapsed="false">
      <c r="A11" s="11" t="s">
        <v>107</v>
      </c>
      <c r="B11" s="12" t="n">
        <f aca="false">SUM(B5:B10)</f>
        <v>238000000</v>
      </c>
      <c r="C11" s="12" t="n">
        <f aca="false">SUM(C5:C10)</f>
        <v>197500000</v>
      </c>
    </row>
    <row r="13" customFormat="false" ht="15" hidden="false" customHeight="false" outlineLevel="0" collapsed="false">
      <c r="A13" s="3" t="s">
        <v>108</v>
      </c>
      <c r="B13" s="8" t="s">
        <v>102</v>
      </c>
      <c r="C13" s="8" t="s">
        <v>103</v>
      </c>
    </row>
    <row r="14" customFormat="false" ht="15" hidden="false" customHeight="false" outlineLevel="0" collapsed="false">
      <c r="A14" s="5" t="s">
        <v>47</v>
      </c>
      <c r="B14" s="9" t="n">
        <v>50000000</v>
      </c>
      <c r="C14" s="9" t="n">
        <v>50000000</v>
      </c>
    </row>
    <row r="15" customFormat="false" ht="15" hidden="false" customHeight="false" outlineLevel="0" collapsed="false">
      <c r="A15" s="5" t="s">
        <v>49</v>
      </c>
      <c r="B15" s="9" t="n">
        <v>28000000</v>
      </c>
      <c r="C15" s="9" t="n">
        <v>20000000</v>
      </c>
    </row>
    <row r="16" customFormat="false" ht="15" hidden="false" customHeight="false" outlineLevel="0" collapsed="false">
      <c r="A16" s="5" t="s">
        <v>109</v>
      </c>
      <c r="B16" s="9" t="n">
        <v>30000000</v>
      </c>
      <c r="C16" s="9" t="n">
        <v>24000000</v>
      </c>
    </row>
    <row r="17" customFormat="false" ht="15" hidden="false" customHeight="false" outlineLevel="0" collapsed="false">
      <c r="A17" s="5" t="s">
        <v>51</v>
      </c>
      <c r="B17" s="9" t="n">
        <v>50000000</v>
      </c>
      <c r="C17" s="9" t="n">
        <v>42000000</v>
      </c>
    </row>
    <row r="18" customFormat="false" ht="15" hidden="false" customHeight="false" outlineLevel="0" collapsed="false">
      <c r="A18" s="5" t="s">
        <v>110</v>
      </c>
      <c r="B18" s="9" t="n">
        <v>60000000</v>
      </c>
      <c r="C18" s="9" t="n">
        <v>48000000</v>
      </c>
    </row>
    <row r="19" customFormat="false" ht="15" hidden="false" customHeight="false" outlineLevel="0" collapsed="false">
      <c r="A19" s="5" t="s">
        <v>111</v>
      </c>
      <c r="B19" s="9" t="n">
        <v>15000000</v>
      </c>
      <c r="C19" s="9" t="n">
        <v>11500000</v>
      </c>
    </row>
    <row r="20" customFormat="false" ht="15" hidden="false" customHeight="false" outlineLevel="0" collapsed="false">
      <c r="A20" s="5" t="s">
        <v>71</v>
      </c>
      <c r="B20" s="9" t="n">
        <v>5000000</v>
      </c>
      <c r="C20" s="9" t="n">
        <v>2500000</v>
      </c>
    </row>
    <row r="21" customFormat="false" ht="15" hidden="false" customHeight="false" outlineLevel="0" collapsed="false">
      <c r="A21" s="11" t="s">
        <v>112</v>
      </c>
      <c r="B21" s="12" t="n">
        <f aca="false">SUM(B14:B20)</f>
        <v>238000000</v>
      </c>
      <c r="C21" s="12" t="n">
        <f aca="false">SUM(C14:C20)</f>
        <v>198000000</v>
      </c>
    </row>
    <row r="23" customFormat="false" ht="15" hidden="false" customHeight="false" outlineLevel="0" collapsed="false">
      <c r="A23" s="6" t="s">
        <v>113</v>
      </c>
      <c r="B23" s="13" t="n">
        <f aca="false">B11-B21</f>
        <v>0</v>
      </c>
    </row>
    <row r="25" customFormat="false" ht="15" hidden="false" customHeight="false" outlineLevel="0" collapsed="false">
      <c r="A25" s="3" t="s">
        <v>114</v>
      </c>
      <c r="B25" s="8" t="s">
        <v>115</v>
      </c>
      <c r="C25" s="8" t="s">
        <v>116</v>
      </c>
    </row>
    <row r="26" customFormat="false" ht="15" hidden="false" customHeight="false" outlineLevel="0" collapsed="false">
      <c r="A26" s="5" t="s">
        <v>97</v>
      </c>
      <c r="B26" s="9" t="n">
        <v>520000000</v>
      </c>
      <c r="C26" s="9" t="n">
        <v>465000000</v>
      </c>
    </row>
    <row r="27" customFormat="false" ht="15" hidden="false" customHeight="false" outlineLevel="0" collapsed="false">
      <c r="A27" s="5" t="s">
        <v>117</v>
      </c>
      <c r="B27" s="9" t="n">
        <v>-387000000</v>
      </c>
      <c r="C27" s="9" t="n">
        <v>-350000000</v>
      </c>
    </row>
    <row r="28" customFormat="false" ht="15" hidden="false" customHeight="false" outlineLevel="0" collapsed="false">
      <c r="A28" s="11" t="s">
        <v>118</v>
      </c>
      <c r="B28" s="12" t="n">
        <f aca="false">B26+B27</f>
        <v>133000000</v>
      </c>
      <c r="C28" s="12" t="n">
        <f aca="false">C26+C27</f>
        <v>115000000</v>
      </c>
    </row>
    <row r="29" customFormat="false" ht="15" hidden="false" customHeight="false" outlineLevel="0" collapsed="false">
      <c r="A29" s="5" t="s">
        <v>83</v>
      </c>
      <c r="B29" s="9" t="n">
        <v>-46000000</v>
      </c>
      <c r="C29" s="9" t="n">
        <v>-43000000</v>
      </c>
    </row>
    <row r="30" customFormat="false" ht="15" hidden="false" customHeight="false" outlineLevel="0" collapsed="false">
      <c r="A30" s="5" t="s">
        <v>87</v>
      </c>
      <c r="B30" s="9" t="n">
        <v>-38000000</v>
      </c>
      <c r="C30" s="9" t="n">
        <v>-35000000</v>
      </c>
    </row>
    <row r="31" customFormat="false" ht="15" hidden="false" customHeight="false" outlineLevel="0" collapsed="false">
      <c r="A31" s="5" t="s">
        <v>119</v>
      </c>
      <c r="B31" s="9" t="n">
        <v>-3000000</v>
      </c>
      <c r="C31" s="9" t="n">
        <v>-2800000</v>
      </c>
    </row>
    <row r="32" customFormat="false" ht="15" hidden="false" customHeight="false" outlineLevel="0" collapsed="false">
      <c r="A32" s="5" t="s">
        <v>91</v>
      </c>
      <c r="B32" s="9" t="n">
        <v>-8000000</v>
      </c>
      <c r="C32" s="9" t="n">
        <v>-7000000</v>
      </c>
    </row>
    <row r="33" customFormat="false" ht="15" hidden="false" customHeight="false" outlineLevel="0" collapsed="false">
      <c r="A33" s="5" t="s">
        <v>120</v>
      </c>
      <c r="B33" s="9" t="n">
        <v>-3000000</v>
      </c>
      <c r="C33" s="9" t="n">
        <v>-2000000</v>
      </c>
    </row>
    <row r="34" customFormat="false" ht="15" hidden="false" customHeight="false" outlineLevel="0" collapsed="false">
      <c r="A34" s="11" t="s">
        <v>121</v>
      </c>
      <c r="B34" s="12" t="n">
        <f aca="false">B28+B29+B30+B31+B32+B33</f>
        <v>35000000</v>
      </c>
      <c r="C34" s="12" t="n">
        <f aca="false">C28+C29+C30+C31+C32+C33</f>
        <v>25200000</v>
      </c>
    </row>
    <row r="35" customFormat="false" ht="15" hidden="false" customHeight="false" outlineLevel="0" collapsed="false">
      <c r="A35" s="5" t="s">
        <v>122</v>
      </c>
      <c r="B35" s="9" t="n">
        <v>-3500000</v>
      </c>
      <c r="C35" s="9" t="n">
        <v>-3200000</v>
      </c>
    </row>
    <row r="36" customFormat="false" ht="15" hidden="false" customHeight="false" outlineLevel="0" collapsed="false">
      <c r="A36" s="11" t="s">
        <v>123</v>
      </c>
      <c r="B36" s="12" t="n">
        <f aca="false">B34+B35</f>
        <v>31500000</v>
      </c>
      <c r="C36" s="12" t="n">
        <f aca="false">C34+C35</f>
        <v>22000000</v>
      </c>
    </row>
    <row r="37" customFormat="false" ht="15" hidden="false" customHeight="false" outlineLevel="0" collapsed="false">
      <c r="A37" s="5" t="s">
        <v>124</v>
      </c>
      <c r="B37" s="9" t="n">
        <v>-1500000</v>
      </c>
      <c r="C37" s="9" t="n">
        <v>-1000000</v>
      </c>
    </row>
    <row r="38" customFormat="false" ht="15" hidden="false" customHeight="false" outlineLevel="0" collapsed="false">
      <c r="A38" s="11" t="s">
        <v>125</v>
      </c>
      <c r="B38" s="12" t="n">
        <f aca="false">B36+B37</f>
        <v>30000000</v>
      </c>
      <c r="C38" s="12" t="n">
        <f aca="false">C36+C37</f>
        <v>21000000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8" min="5" style="0" width="13"/>
  </cols>
  <sheetData>
    <row r="1" customFormat="false" ht="18.55" hidden="false" customHeight="false" outlineLevel="0" collapsed="false">
      <c r="A1" s="7" t="s">
        <v>126</v>
      </c>
    </row>
    <row r="2" customFormat="false" ht="15" hidden="false" customHeight="false" outlineLevel="0" collapsed="false">
      <c r="A2" s="2" t="s">
        <v>127</v>
      </c>
    </row>
    <row r="4" customFormat="false" ht="15" hidden="false" customHeight="false" outlineLevel="0" collapsed="false">
      <c r="A4" s="3" t="s">
        <v>128</v>
      </c>
      <c r="B4" s="3" t="s">
        <v>129</v>
      </c>
      <c r="C4" s="8" t="s">
        <v>130</v>
      </c>
      <c r="D4" s="8" t="s">
        <v>131</v>
      </c>
      <c r="E4" s="8" t="s">
        <v>132</v>
      </c>
      <c r="F4" s="8" t="s">
        <v>133</v>
      </c>
      <c r="G4" s="8" t="s">
        <v>134</v>
      </c>
      <c r="H4" s="8" t="s">
        <v>135</v>
      </c>
    </row>
    <row r="5" customFormat="false" ht="15" hidden="false" customHeight="false" outlineLevel="0" collapsed="false">
      <c r="A5" s="4" t="s">
        <v>136</v>
      </c>
      <c r="B5" s="5" t="s">
        <v>137</v>
      </c>
      <c r="C5" s="14" t="n">
        <f aca="false">SUM(D5:H5)</f>
        <v>11000000</v>
      </c>
      <c r="D5" s="9" t="n">
        <v>7000000</v>
      </c>
      <c r="E5" s="9" t="n">
        <v>4000000</v>
      </c>
      <c r="F5" s="9"/>
      <c r="G5" s="9"/>
      <c r="H5" s="9"/>
    </row>
    <row r="6" customFormat="false" ht="15" hidden="false" customHeight="false" outlineLevel="0" collapsed="false">
      <c r="A6" s="4" t="s">
        <v>138</v>
      </c>
      <c r="B6" s="5" t="s">
        <v>139</v>
      </c>
      <c r="C6" s="14" t="n">
        <f aca="false">SUM(D6:H6)</f>
        <v>8500000</v>
      </c>
      <c r="D6" s="9" t="n">
        <v>5000000</v>
      </c>
      <c r="E6" s="9" t="n">
        <v>3500000</v>
      </c>
      <c r="F6" s="9"/>
      <c r="G6" s="9"/>
      <c r="H6" s="9"/>
    </row>
    <row r="7" customFormat="false" ht="15" hidden="false" customHeight="false" outlineLevel="0" collapsed="false">
      <c r="A7" s="4" t="s">
        <v>140</v>
      </c>
      <c r="B7" s="5" t="s">
        <v>141</v>
      </c>
      <c r="C7" s="14" t="n">
        <f aca="false">SUM(D7:H7)</f>
        <v>6200000</v>
      </c>
      <c r="D7" s="9"/>
      <c r="E7" s="9" t="n">
        <v>6200000</v>
      </c>
      <c r="F7" s="9"/>
      <c r="G7" s="9"/>
      <c r="H7" s="9"/>
    </row>
    <row r="8" customFormat="false" ht="15" hidden="false" customHeight="false" outlineLevel="0" collapsed="false">
      <c r="A8" s="4" t="s">
        <v>142</v>
      </c>
      <c r="B8" s="5" t="s">
        <v>143</v>
      </c>
      <c r="C8" s="14" t="n">
        <f aca="false">SUM(D8:H8)</f>
        <v>9800000</v>
      </c>
      <c r="D8" s="9" t="n">
        <v>6000000</v>
      </c>
      <c r="E8" s="9"/>
      <c r="F8" s="9" t="n">
        <v>3800000</v>
      </c>
      <c r="G8" s="9"/>
      <c r="H8" s="9"/>
    </row>
    <row r="9" customFormat="false" ht="15" hidden="false" customHeight="false" outlineLevel="0" collapsed="false">
      <c r="A9" s="4" t="s">
        <v>144</v>
      </c>
      <c r="B9" s="5" t="s">
        <v>145</v>
      </c>
      <c r="C9" s="14" t="n">
        <f aca="false">SUM(D9:H9)</f>
        <v>5500000</v>
      </c>
      <c r="D9" s="9"/>
      <c r="E9" s="9"/>
      <c r="F9" s="9"/>
      <c r="G9" s="9"/>
      <c r="H9" s="9" t="n">
        <v>5500000</v>
      </c>
    </row>
    <row r="10" customFormat="false" ht="15" hidden="false" customHeight="false" outlineLevel="0" collapsed="false">
      <c r="A10" s="4" t="s">
        <v>146</v>
      </c>
      <c r="B10" s="5" t="s">
        <v>147</v>
      </c>
      <c r="C10" s="14" t="n">
        <f aca="false">SUM(D10:H10)</f>
        <v>7300000</v>
      </c>
      <c r="D10" s="9" t="n">
        <v>7300000</v>
      </c>
      <c r="E10" s="9"/>
      <c r="F10" s="9"/>
      <c r="G10" s="9"/>
      <c r="H10" s="9"/>
    </row>
    <row r="11" customFormat="false" ht="15" hidden="false" customHeight="false" outlineLevel="0" collapsed="false">
      <c r="A11" s="4" t="s">
        <v>148</v>
      </c>
      <c r="B11" s="5" t="s">
        <v>149</v>
      </c>
      <c r="C11" s="14" t="n">
        <f aca="false">SUM(D11:H11)</f>
        <v>4600000</v>
      </c>
      <c r="D11" s="9"/>
      <c r="E11" s="9" t="n">
        <v>2600000</v>
      </c>
      <c r="F11" s="9" t="n">
        <v>2000000</v>
      </c>
      <c r="G11" s="9"/>
      <c r="H11" s="9"/>
    </row>
    <row r="12" customFormat="false" ht="15" hidden="false" customHeight="false" outlineLevel="0" collapsed="false">
      <c r="A12" s="4" t="s">
        <v>150</v>
      </c>
      <c r="B12" s="5" t="s">
        <v>151</v>
      </c>
      <c r="C12" s="14" t="n">
        <f aca="false">SUM(D12:H12)</f>
        <v>3900000</v>
      </c>
      <c r="D12" s="9"/>
      <c r="E12" s="9"/>
      <c r="F12" s="9"/>
      <c r="G12" s="9" t="n">
        <v>3900000</v>
      </c>
      <c r="H12" s="9"/>
    </row>
    <row r="13" customFormat="false" ht="15" hidden="false" customHeight="false" outlineLevel="0" collapsed="false">
      <c r="A13" s="4" t="s">
        <v>152</v>
      </c>
      <c r="B13" s="5" t="s">
        <v>153</v>
      </c>
      <c r="C13" s="14" t="n">
        <f aca="false">SUM(D13:H13)</f>
        <v>6100000</v>
      </c>
      <c r="D13" s="9" t="n">
        <v>4000000</v>
      </c>
      <c r="E13" s="9" t="n">
        <v>2100000</v>
      </c>
      <c r="F13" s="9"/>
      <c r="G13" s="9"/>
      <c r="H13" s="9"/>
    </row>
    <row r="14" customFormat="false" ht="15" hidden="false" customHeight="false" outlineLevel="0" collapsed="false">
      <c r="A14" s="4" t="s">
        <v>154</v>
      </c>
      <c r="B14" s="5" t="s">
        <v>155</v>
      </c>
      <c r="C14" s="14" t="n">
        <f aca="false">SUM(D14:H14)</f>
        <v>4300000</v>
      </c>
      <c r="D14" s="9"/>
      <c r="E14" s="9" t="n">
        <v>4300000</v>
      </c>
      <c r="F14" s="9"/>
      <c r="G14" s="9"/>
      <c r="H14" s="9"/>
    </row>
    <row r="15" customFormat="false" ht="15" hidden="false" customHeight="false" outlineLevel="0" collapsed="false">
      <c r="A15" s="4" t="s">
        <v>156</v>
      </c>
      <c r="B15" s="5" t="s">
        <v>157</v>
      </c>
      <c r="C15" s="14" t="n">
        <f aca="false">SUM(D15:H15)</f>
        <v>2800000</v>
      </c>
      <c r="D15" s="9"/>
      <c r="E15" s="9"/>
      <c r="F15" s="9" t="n">
        <v>2800000</v>
      </c>
      <c r="G15" s="9"/>
      <c r="H15" s="9"/>
    </row>
    <row r="16" customFormat="false" ht="15" hidden="false" customHeight="false" outlineLevel="0" collapsed="false">
      <c r="A16" s="4" t="s">
        <v>158</v>
      </c>
      <c r="B16" s="5" t="s">
        <v>159</v>
      </c>
      <c r="C16" s="14" t="n">
        <f aca="false">SUM(D16:H16)</f>
        <v>2000000</v>
      </c>
      <c r="D16" s="9"/>
      <c r="E16" s="9"/>
      <c r="F16" s="9"/>
      <c r="G16" s="9" t="n">
        <v>2000000</v>
      </c>
      <c r="H16" s="9"/>
    </row>
    <row r="17" customFormat="false" ht="15" hidden="false" customHeight="false" outlineLevel="0" collapsed="false">
      <c r="A17" s="10"/>
      <c r="B17" s="11" t="s">
        <v>160</v>
      </c>
      <c r="C17" s="12" t="n">
        <f aca="false">SUM(C5:C16)</f>
        <v>72000000</v>
      </c>
      <c r="D17" s="12" t="n">
        <f aca="false">SUM(D5:D16)</f>
        <v>29300000</v>
      </c>
      <c r="E17" s="12" t="n">
        <f aca="false">SUM(E5:E16)</f>
        <v>22700000</v>
      </c>
      <c r="F17" s="12" t="n">
        <f aca="false">SUM(F5:F16)</f>
        <v>8600000</v>
      </c>
      <c r="G17" s="12" t="n">
        <f aca="false">SUM(G5:G16)</f>
        <v>5900000</v>
      </c>
      <c r="H17" s="12" t="n">
        <f aca="false">SUM(H5:H16)</f>
        <v>5500000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8"/>
  </cols>
  <sheetData>
    <row r="1" customFormat="false" ht="18.55" hidden="false" customHeight="false" outlineLevel="0" collapsed="false">
      <c r="A1" s="7" t="s">
        <v>161</v>
      </c>
    </row>
    <row r="2" customFormat="false" ht="15" hidden="false" customHeight="false" outlineLevel="0" collapsed="false">
      <c r="A2" s="2" t="s">
        <v>162</v>
      </c>
    </row>
    <row r="4" customFormat="false" ht="15" hidden="false" customHeight="false" outlineLevel="0" collapsed="false">
      <c r="A4" s="3" t="s">
        <v>128</v>
      </c>
      <c r="B4" s="3" t="s">
        <v>163</v>
      </c>
      <c r="C4" s="8" t="s">
        <v>164</v>
      </c>
    </row>
    <row r="5" customFormat="false" ht="15" hidden="false" customHeight="false" outlineLevel="0" collapsed="false">
      <c r="A5" s="4" t="s">
        <v>165</v>
      </c>
      <c r="B5" s="5" t="s">
        <v>166</v>
      </c>
      <c r="C5" s="9" t="n">
        <v>16000000</v>
      </c>
    </row>
    <row r="6" customFormat="false" ht="15" hidden="false" customHeight="false" outlineLevel="0" collapsed="false">
      <c r="A6" s="4" t="s">
        <v>167</v>
      </c>
      <c r="B6" s="5" t="s">
        <v>168</v>
      </c>
      <c r="C6" s="9" t="n">
        <v>12500000</v>
      </c>
    </row>
    <row r="7" customFormat="false" ht="15" hidden="false" customHeight="false" outlineLevel="0" collapsed="false">
      <c r="A7" s="4" t="s">
        <v>169</v>
      </c>
      <c r="B7" s="5" t="s">
        <v>170</v>
      </c>
      <c r="C7" s="9" t="n">
        <v>5200000</v>
      </c>
    </row>
    <row r="8" customFormat="false" ht="15" hidden="false" customHeight="false" outlineLevel="0" collapsed="false">
      <c r="A8" s="4" t="s">
        <v>171</v>
      </c>
      <c r="B8" s="5" t="s">
        <v>172</v>
      </c>
      <c r="C8" s="9" t="n">
        <v>4800000</v>
      </c>
    </row>
    <row r="9" customFormat="false" ht="15" hidden="false" customHeight="false" outlineLevel="0" collapsed="false">
      <c r="A9" s="4" t="s">
        <v>173</v>
      </c>
      <c r="B9" s="5" t="s">
        <v>174</v>
      </c>
      <c r="C9" s="9" t="n">
        <v>3500000</v>
      </c>
    </row>
    <row r="10" customFormat="false" ht="15" hidden="false" customHeight="false" outlineLevel="0" collapsed="false">
      <c r="A10" s="4" t="s">
        <v>175</v>
      </c>
      <c r="B10" s="5" t="s">
        <v>176</v>
      </c>
      <c r="C10" s="9" t="n">
        <v>4200000</v>
      </c>
    </row>
    <row r="11" customFormat="false" ht="15" hidden="false" customHeight="false" outlineLevel="0" collapsed="false">
      <c r="A11" s="4" t="s">
        <v>177</v>
      </c>
      <c r="B11" s="5" t="s">
        <v>178</v>
      </c>
      <c r="C11" s="9" t="n">
        <v>2800000</v>
      </c>
    </row>
    <row r="12" customFormat="false" ht="15" hidden="false" customHeight="false" outlineLevel="0" collapsed="false">
      <c r="A12" s="4" t="s">
        <v>179</v>
      </c>
      <c r="B12" s="5" t="s">
        <v>180</v>
      </c>
      <c r="C12" s="9" t="n">
        <v>1500000</v>
      </c>
    </row>
    <row r="13" customFormat="false" ht="15" hidden="false" customHeight="false" outlineLevel="0" collapsed="false">
      <c r="A13" s="4" t="s">
        <v>181</v>
      </c>
      <c r="B13" s="5" t="s">
        <v>182</v>
      </c>
      <c r="C13" s="9" t="n">
        <v>3500000</v>
      </c>
    </row>
    <row r="14" customFormat="false" ht="15" hidden="false" customHeight="false" outlineLevel="0" collapsed="false">
      <c r="A14" s="4" t="s">
        <v>183</v>
      </c>
      <c r="B14" s="5" t="s">
        <v>184</v>
      </c>
      <c r="C14" s="9" t="n">
        <v>6000000</v>
      </c>
    </row>
    <row r="15" customFormat="false" ht="15" hidden="false" customHeight="false" outlineLevel="0" collapsed="false">
      <c r="A15" s="10"/>
      <c r="B15" s="11" t="s">
        <v>185</v>
      </c>
      <c r="C15" s="12" t="n">
        <f aca="false">SUM(C5:C14)</f>
        <v>60000000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18"/>
  </cols>
  <sheetData>
    <row r="1" customFormat="false" ht="18.55" hidden="false" customHeight="false" outlineLevel="0" collapsed="false">
      <c r="A1" s="7" t="s">
        <v>186</v>
      </c>
    </row>
    <row r="2" customFormat="false" ht="15" hidden="false" customHeight="false" outlineLevel="0" collapsed="false">
      <c r="A2" s="2" t="s">
        <v>187</v>
      </c>
    </row>
    <row r="4" customFormat="false" ht="15" hidden="false" customHeight="false" outlineLevel="0" collapsed="false">
      <c r="A4" s="3" t="s">
        <v>188</v>
      </c>
      <c r="B4" s="3" t="s">
        <v>189</v>
      </c>
      <c r="C4" s="3" t="s">
        <v>129</v>
      </c>
      <c r="D4" s="8" t="s">
        <v>190</v>
      </c>
    </row>
    <row r="5" customFormat="false" ht="15" hidden="false" customHeight="false" outlineLevel="0" collapsed="false">
      <c r="A5" s="4" t="s">
        <v>191</v>
      </c>
      <c r="B5" s="5" t="s">
        <v>192</v>
      </c>
      <c r="C5" s="5" t="s">
        <v>139</v>
      </c>
      <c r="D5" s="9" t="n">
        <v>3400000</v>
      </c>
    </row>
    <row r="6" customFormat="false" ht="15" hidden="false" customHeight="false" outlineLevel="0" collapsed="false">
      <c r="A6" s="4" t="s">
        <v>193</v>
      </c>
      <c r="B6" s="5" t="s">
        <v>194</v>
      </c>
      <c r="C6" s="5" t="s">
        <v>137</v>
      </c>
      <c r="D6" s="9" t="n">
        <v>5100000</v>
      </c>
    </row>
    <row r="7" customFormat="false" ht="15" hidden="false" customHeight="false" outlineLevel="0" collapsed="false">
      <c r="A7" s="4" t="s">
        <v>195</v>
      </c>
      <c r="B7" s="5" t="s">
        <v>196</v>
      </c>
      <c r="C7" s="5" t="s">
        <v>143</v>
      </c>
      <c r="D7" s="9" t="n">
        <v>2800000</v>
      </c>
    </row>
    <row r="8" customFormat="false" ht="15" hidden="false" customHeight="false" outlineLevel="0" collapsed="false">
      <c r="A8" s="4" t="s">
        <v>197</v>
      </c>
      <c r="B8" s="5" t="s">
        <v>198</v>
      </c>
      <c r="C8" s="5" t="s">
        <v>147</v>
      </c>
      <c r="D8" s="9" t="n">
        <v>4600000</v>
      </c>
    </row>
    <row r="9" customFormat="false" ht="15" hidden="false" customHeight="false" outlineLevel="0" collapsed="false">
      <c r="A9" s="4" t="s">
        <v>199</v>
      </c>
      <c r="B9" s="5" t="s">
        <v>200</v>
      </c>
      <c r="C9" s="5" t="s">
        <v>153</v>
      </c>
      <c r="D9" s="9" t="n">
        <v>3900000</v>
      </c>
    </row>
    <row r="10" customFormat="false" ht="15" hidden="false" customHeight="false" outlineLevel="0" collapsed="false">
      <c r="A10" s="4" t="s">
        <v>201</v>
      </c>
      <c r="B10" s="5" t="s">
        <v>202</v>
      </c>
      <c r="C10" s="5" t="s">
        <v>137</v>
      </c>
      <c r="D10" s="9" t="n">
        <v>4200000</v>
      </c>
    </row>
    <row r="11" customFormat="false" ht="15" hidden="false" customHeight="false" outlineLevel="0" collapsed="false">
      <c r="A11" s="4" t="s">
        <v>201</v>
      </c>
      <c r="B11" s="5" t="s">
        <v>203</v>
      </c>
      <c r="C11" s="5" t="s">
        <v>141</v>
      </c>
      <c r="D11" s="9" t="n">
        <v>2100000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18"/>
  </cols>
  <sheetData>
    <row r="1" customFormat="false" ht="18.55" hidden="false" customHeight="false" outlineLevel="0" collapsed="false">
      <c r="A1" s="7" t="s">
        <v>204</v>
      </c>
    </row>
    <row r="2" customFormat="false" ht="15" hidden="false" customHeight="false" outlineLevel="0" collapsed="false">
      <c r="A2" s="2" t="s">
        <v>187</v>
      </c>
    </row>
    <row r="4" customFormat="false" ht="15" hidden="false" customHeight="false" outlineLevel="0" collapsed="false">
      <c r="A4" s="3" t="s">
        <v>188</v>
      </c>
      <c r="B4" s="3" t="s">
        <v>189</v>
      </c>
      <c r="C4" s="3" t="s">
        <v>163</v>
      </c>
      <c r="D4" s="8" t="s">
        <v>190</v>
      </c>
    </row>
    <row r="5" customFormat="false" ht="15" hidden="false" customHeight="false" outlineLevel="0" collapsed="false">
      <c r="A5" s="4" t="s">
        <v>205</v>
      </c>
      <c r="B5" s="5" t="s">
        <v>206</v>
      </c>
      <c r="C5" s="5" t="s">
        <v>168</v>
      </c>
      <c r="D5" s="9" t="n">
        <v>8900000</v>
      </c>
    </row>
    <row r="6" customFormat="false" ht="15" hidden="false" customHeight="false" outlineLevel="0" collapsed="false">
      <c r="A6" s="4" t="s">
        <v>193</v>
      </c>
      <c r="B6" s="5" t="s">
        <v>207</v>
      </c>
      <c r="C6" s="5" t="s">
        <v>166</v>
      </c>
      <c r="D6" s="9" t="n">
        <v>12000000</v>
      </c>
    </row>
    <row r="7" customFormat="false" ht="15" hidden="false" customHeight="false" outlineLevel="0" collapsed="false">
      <c r="A7" s="4" t="s">
        <v>208</v>
      </c>
      <c r="B7" s="5" t="s">
        <v>209</v>
      </c>
      <c r="C7" s="5" t="s">
        <v>172</v>
      </c>
      <c r="D7" s="9" t="n">
        <v>2300000</v>
      </c>
    </row>
    <row r="8" customFormat="false" ht="15" hidden="false" customHeight="false" outlineLevel="0" collapsed="false">
      <c r="A8" s="4" t="s">
        <v>210</v>
      </c>
      <c r="B8" s="5" t="s">
        <v>211</v>
      </c>
      <c r="C8" s="5" t="s">
        <v>170</v>
      </c>
      <c r="D8" s="9" t="n">
        <v>1800000</v>
      </c>
    </row>
    <row r="9" customFormat="false" ht="15" hidden="false" customHeight="false" outlineLevel="0" collapsed="false">
      <c r="A9" s="4" t="s">
        <v>212</v>
      </c>
      <c r="B9" s="5" t="s">
        <v>213</v>
      </c>
      <c r="C9" s="5" t="s">
        <v>176</v>
      </c>
      <c r="D9" s="9" t="n">
        <v>1600000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4" min="3" style="0" width="16"/>
    <col collapsed="false" customWidth="true" hidden="false" outlineLevel="0" max="5" min="5" style="0" width="18"/>
  </cols>
  <sheetData>
    <row r="1" customFormat="false" ht="18.55" hidden="false" customHeight="false" outlineLevel="0" collapsed="false">
      <c r="A1" s="7" t="s">
        <v>214</v>
      </c>
    </row>
    <row r="2" customFormat="false" ht="15" hidden="false" customHeight="false" outlineLevel="0" collapsed="false">
      <c r="A2" s="2" t="s">
        <v>215</v>
      </c>
    </row>
    <row r="4" customFormat="false" ht="15" hidden="false" customHeight="false" outlineLevel="0" collapsed="false">
      <c r="A4" s="3" t="s">
        <v>188</v>
      </c>
      <c r="B4" s="3" t="s">
        <v>216</v>
      </c>
      <c r="C4" s="8" t="s">
        <v>217</v>
      </c>
      <c r="D4" s="8" t="s">
        <v>218</v>
      </c>
      <c r="E4" s="8" t="s">
        <v>219</v>
      </c>
    </row>
    <row r="5" customFormat="false" ht="15" hidden="false" customHeight="false" outlineLevel="0" collapsed="false">
      <c r="A5" s="15"/>
      <c r="B5" s="16" t="s">
        <v>220</v>
      </c>
      <c r="C5" s="15"/>
      <c r="D5" s="15"/>
      <c r="E5" s="17" t="n">
        <v>29400000</v>
      </c>
    </row>
    <row r="6" customFormat="false" ht="15" hidden="false" customHeight="false" outlineLevel="0" collapsed="false">
      <c r="A6" s="4" t="s">
        <v>221</v>
      </c>
      <c r="B6" s="5" t="s">
        <v>222</v>
      </c>
      <c r="C6" s="9" t="n">
        <v>8500000</v>
      </c>
      <c r="D6" s="9"/>
      <c r="E6" s="18" t="n">
        <f aca="false">E5+C6-D6</f>
        <v>37900000</v>
      </c>
    </row>
    <row r="7" customFormat="false" ht="15" hidden="false" customHeight="false" outlineLevel="0" collapsed="false">
      <c r="A7" s="4" t="s">
        <v>223</v>
      </c>
      <c r="B7" s="5" t="s">
        <v>224</v>
      </c>
      <c r="C7" s="9"/>
      <c r="D7" s="9" t="n">
        <v>6200000</v>
      </c>
      <c r="E7" s="18" t="n">
        <f aca="false">E6+C7-D7</f>
        <v>31700000</v>
      </c>
    </row>
    <row r="8" customFormat="false" ht="15" hidden="false" customHeight="false" outlineLevel="0" collapsed="false">
      <c r="A8" s="4" t="s">
        <v>225</v>
      </c>
      <c r="B8" s="5" t="s">
        <v>226</v>
      </c>
      <c r="C8" s="9" t="n">
        <v>5400000</v>
      </c>
      <c r="D8" s="9"/>
      <c r="E8" s="18" t="n">
        <f aca="false">E7+C8-D8</f>
        <v>37100000</v>
      </c>
    </row>
    <row r="9" customFormat="false" ht="15" hidden="false" customHeight="false" outlineLevel="0" collapsed="false">
      <c r="A9" s="4" t="s">
        <v>227</v>
      </c>
      <c r="B9" s="5" t="s">
        <v>228</v>
      </c>
      <c r="C9" s="9"/>
      <c r="D9" s="9" t="n">
        <v>3200000</v>
      </c>
      <c r="E9" s="18" t="n">
        <f aca="false">E8+C9-D9</f>
        <v>33900000</v>
      </c>
    </row>
    <row r="10" customFormat="false" ht="15" hidden="false" customHeight="false" outlineLevel="0" collapsed="false">
      <c r="A10" s="4" t="s">
        <v>205</v>
      </c>
      <c r="B10" s="5" t="s">
        <v>229</v>
      </c>
      <c r="C10" s="9"/>
      <c r="D10" s="9" t="n">
        <v>9000000</v>
      </c>
      <c r="E10" s="18" t="n">
        <f aca="false">E9+C10-D10</f>
        <v>24900000</v>
      </c>
    </row>
    <row r="11" customFormat="false" ht="15" hidden="false" customHeight="false" outlineLevel="0" collapsed="false">
      <c r="A11" s="4" t="s">
        <v>193</v>
      </c>
      <c r="B11" s="5" t="s">
        <v>226</v>
      </c>
      <c r="C11" s="9" t="n">
        <v>7800000</v>
      </c>
      <c r="D11" s="9"/>
      <c r="E11" s="18" t="n">
        <f aca="false">E10+C11-D11</f>
        <v>32700000</v>
      </c>
    </row>
    <row r="12" customFormat="false" ht="15" hidden="false" customHeight="false" outlineLevel="0" collapsed="false">
      <c r="A12" s="4" t="s">
        <v>208</v>
      </c>
      <c r="B12" s="5" t="s">
        <v>230</v>
      </c>
      <c r="C12" s="9"/>
      <c r="D12" s="9" t="n">
        <v>1800000</v>
      </c>
      <c r="E12" s="18" t="n">
        <f aca="false">E11+C12-D12</f>
        <v>30900000</v>
      </c>
    </row>
    <row r="13" customFormat="false" ht="15" hidden="false" customHeight="false" outlineLevel="0" collapsed="false">
      <c r="A13" s="4" t="s">
        <v>210</v>
      </c>
      <c r="B13" s="5" t="s">
        <v>231</v>
      </c>
      <c r="C13" s="9"/>
      <c r="D13" s="9" t="n">
        <v>2400000</v>
      </c>
      <c r="E13" s="18" t="n">
        <f aca="false">E12+C13-D13</f>
        <v>28500000</v>
      </c>
    </row>
    <row r="14" customFormat="false" ht="15" hidden="false" customHeight="false" outlineLevel="0" collapsed="false">
      <c r="A14" s="4" t="s">
        <v>199</v>
      </c>
      <c r="B14" s="5" t="s">
        <v>232</v>
      </c>
      <c r="C14" s="9"/>
      <c r="D14" s="9" t="n">
        <v>1500000</v>
      </c>
      <c r="E14" s="18" t="n">
        <f aca="false">E13+C14-D14</f>
        <v>27000000</v>
      </c>
    </row>
    <row r="15" customFormat="false" ht="15" hidden="false" customHeight="false" outlineLevel="0" collapsed="false">
      <c r="A15" s="4" t="s">
        <v>212</v>
      </c>
      <c r="B15" s="5" t="s">
        <v>233</v>
      </c>
      <c r="C15" s="9" t="n">
        <v>1000000</v>
      </c>
      <c r="D15" s="9"/>
      <c r="E15" s="18" t="n">
        <f aca="false">E14+C15-D15</f>
        <v>28000000</v>
      </c>
    </row>
    <row r="16" customFormat="false" ht="15" hidden="false" customHeight="false" outlineLevel="0" collapsed="false">
      <c r="A16" s="10"/>
      <c r="B16" s="11" t="s">
        <v>234</v>
      </c>
      <c r="C16" s="10"/>
      <c r="D16" s="10"/>
      <c r="E16" s="12" t="n">
        <f aca="false">E15</f>
        <v>28000000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8"/>
    <col collapsed="false" customWidth="true" hidden="false" outlineLevel="0" max="5" min="4" style="0" width="16"/>
    <col collapsed="false" customWidth="true" hidden="false" outlineLevel="0" max="6" min="6" style="0" width="15"/>
    <col collapsed="false" customWidth="true" hidden="false" outlineLevel="0" max="8" min="7" style="0" width="16"/>
  </cols>
  <sheetData>
    <row r="1" customFormat="false" ht="18.55" hidden="false" customHeight="false" outlineLevel="0" collapsed="false">
      <c r="A1" s="7" t="s">
        <v>235</v>
      </c>
    </row>
    <row r="2" customFormat="false" ht="15" hidden="false" customHeight="false" outlineLevel="0" collapsed="false">
      <c r="A2" s="2" t="s">
        <v>236</v>
      </c>
    </row>
    <row r="4" customFormat="false" ht="15" hidden="false" customHeight="false" outlineLevel="0" collapsed="false">
      <c r="A4" s="3" t="s">
        <v>237</v>
      </c>
      <c r="B4" s="3" t="s">
        <v>238</v>
      </c>
      <c r="C4" s="8" t="s">
        <v>239</v>
      </c>
      <c r="D4" s="8" t="s">
        <v>240</v>
      </c>
      <c r="E4" s="8" t="s">
        <v>241</v>
      </c>
      <c r="F4" s="8" t="s">
        <v>242</v>
      </c>
      <c r="G4" s="8" t="s">
        <v>243</v>
      </c>
      <c r="H4" s="8" t="s">
        <v>244</v>
      </c>
    </row>
    <row r="5" customFormat="false" ht="15" hidden="false" customHeight="false" outlineLevel="0" collapsed="false">
      <c r="A5" s="5" t="s">
        <v>245</v>
      </c>
      <c r="B5" s="19" t="s">
        <v>246</v>
      </c>
      <c r="C5" s="19" t="s">
        <v>247</v>
      </c>
      <c r="D5" s="9" t="n">
        <v>18000000</v>
      </c>
      <c r="E5" s="9" t="n">
        <v>5400000</v>
      </c>
      <c r="F5" s="9" t="n">
        <v>1800000</v>
      </c>
      <c r="G5" s="14" t="n">
        <f aca="false">E5+F5</f>
        <v>7200000</v>
      </c>
      <c r="H5" s="14" t="n">
        <f aca="false">D5-G5</f>
        <v>10800000</v>
      </c>
    </row>
    <row r="6" customFormat="false" ht="15" hidden="false" customHeight="false" outlineLevel="0" collapsed="false">
      <c r="A6" s="5" t="s">
        <v>248</v>
      </c>
      <c r="B6" s="19" t="s">
        <v>249</v>
      </c>
      <c r="C6" s="19" t="s">
        <v>250</v>
      </c>
      <c r="D6" s="9" t="n">
        <v>12000000</v>
      </c>
      <c r="E6" s="9" t="n">
        <v>4800000</v>
      </c>
      <c r="F6" s="9" t="n">
        <v>2400000</v>
      </c>
      <c r="G6" s="14" t="n">
        <f aca="false">E6+F6</f>
        <v>7200000</v>
      </c>
      <c r="H6" s="14" t="n">
        <f aca="false">D6-G6</f>
        <v>4800000</v>
      </c>
    </row>
    <row r="7" customFormat="false" ht="15" hidden="false" customHeight="false" outlineLevel="0" collapsed="false">
      <c r="A7" s="5" t="s">
        <v>251</v>
      </c>
      <c r="B7" s="19" t="s">
        <v>116</v>
      </c>
      <c r="C7" s="19" t="s">
        <v>247</v>
      </c>
      <c r="D7" s="9" t="n">
        <v>10000000</v>
      </c>
      <c r="E7" s="9" t="n">
        <v>1000000</v>
      </c>
      <c r="F7" s="9" t="n">
        <v>1000000</v>
      </c>
      <c r="G7" s="14" t="n">
        <f aca="false">E7+F7</f>
        <v>2000000</v>
      </c>
      <c r="H7" s="14" t="n">
        <f aca="false">D7-G7</f>
        <v>8000000</v>
      </c>
    </row>
    <row r="8" customFormat="false" ht="15" hidden="false" customHeight="false" outlineLevel="0" collapsed="false">
      <c r="A8" s="5" t="s">
        <v>252</v>
      </c>
      <c r="B8" s="19" t="s">
        <v>116</v>
      </c>
      <c r="C8" s="19" t="s">
        <v>253</v>
      </c>
      <c r="D8" s="9" t="n">
        <v>8000000</v>
      </c>
      <c r="E8" s="9" t="n">
        <v>2000000</v>
      </c>
      <c r="F8" s="9" t="n">
        <v>2000000</v>
      </c>
      <c r="G8" s="14" t="n">
        <f aca="false">E8+F8</f>
        <v>4000000</v>
      </c>
      <c r="H8" s="14" t="n">
        <f aca="false">D8-G8</f>
        <v>4000000</v>
      </c>
    </row>
    <row r="9" customFormat="false" ht="15" hidden="false" customHeight="false" outlineLevel="0" collapsed="false">
      <c r="A9" s="5" t="s">
        <v>254</v>
      </c>
      <c r="B9" s="19" t="s">
        <v>116</v>
      </c>
      <c r="C9" s="19" t="s">
        <v>255</v>
      </c>
      <c r="D9" s="9" t="n">
        <v>12000000</v>
      </c>
      <c r="E9" s="9" t="n">
        <v>800000</v>
      </c>
      <c r="F9" s="9" t="n">
        <v>800000</v>
      </c>
      <c r="G9" s="14" t="n">
        <f aca="false">E9+F9</f>
        <v>1600000</v>
      </c>
      <c r="H9" s="14" t="n">
        <f aca="false">D9-G9</f>
        <v>10400000</v>
      </c>
    </row>
    <row r="10" customFormat="false" ht="15" hidden="false" customHeight="false" outlineLevel="0" collapsed="false">
      <c r="A10" s="11" t="s">
        <v>98</v>
      </c>
      <c r="B10" s="10"/>
      <c r="C10" s="10"/>
      <c r="D10" s="12" t="n">
        <f aca="false">SUM(D5:D9)</f>
        <v>60000000</v>
      </c>
      <c r="E10" s="12" t="n">
        <f aca="false">SUM(E5:E9)</f>
        <v>14000000</v>
      </c>
      <c r="F10" s="12" t="n">
        <f aca="false">SUM(F5:F9)</f>
        <v>8000000</v>
      </c>
      <c r="G10" s="12" t="n">
        <f aca="false">SUM(G5:G9)</f>
        <v>22000000</v>
      </c>
      <c r="H10" s="12" t="n">
        <f aca="false">SUM(H5:H9)</f>
        <v>38000000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18.55" hidden="false" customHeight="false" outlineLevel="0" collapsed="false">
      <c r="A1" s="7" t="s">
        <v>256</v>
      </c>
    </row>
    <row r="2" customFormat="false" ht="15" hidden="false" customHeight="false" outlineLevel="0" collapsed="false">
      <c r="A2" s="2" t="s">
        <v>257</v>
      </c>
    </row>
    <row r="4" customFormat="false" ht="15" hidden="false" customHeight="false" outlineLevel="0" collapsed="false">
      <c r="A4" s="3" t="s">
        <v>258</v>
      </c>
      <c r="B4" s="8" t="s">
        <v>259</v>
      </c>
      <c r="C4" s="8" t="s">
        <v>260</v>
      </c>
      <c r="D4" s="8" t="s">
        <v>261</v>
      </c>
    </row>
    <row r="5" customFormat="false" ht="15" hidden="false" customHeight="false" outlineLevel="0" collapsed="false">
      <c r="A5" s="5" t="s">
        <v>262</v>
      </c>
      <c r="B5" s="9" t="n">
        <v>320</v>
      </c>
      <c r="C5" s="9" t="n">
        <v>95000</v>
      </c>
      <c r="D5" s="14" t="n">
        <f aca="false">B5*C5</f>
        <v>30400000</v>
      </c>
    </row>
    <row r="6" customFormat="false" ht="15" hidden="false" customHeight="false" outlineLevel="0" collapsed="false">
      <c r="A6" s="5" t="s">
        <v>263</v>
      </c>
      <c r="B6" s="9" t="n">
        <v>140</v>
      </c>
      <c r="C6" s="9" t="n">
        <v>130000</v>
      </c>
      <c r="D6" s="14" t="n">
        <f aca="false">B6*C6</f>
        <v>18200000</v>
      </c>
    </row>
    <row r="7" customFormat="false" ht="15" hidden="false" customHeight="false" outlineLevel="0" collapsed="false">
      <c r="A7" s="5" t="s">
        <v>264</v>
      </c>
      <c r="B7" s="9" t="n">
        <v>110</v>
      </c>
      <c r="C7" s="9" t="n">
        <v>145000</v>
      </c>
      <c r="D7" s="14" t="n">
        <f aca="false">B7*C7</f>
        <v>15950000</v>
      </c>
    </row>
    <row r="8" customFormat="false" ht="15" hidden="false" customHeight="false" outlineLevel="0" collapsed="false">
      <c r="A8" s="5" t="s">
        <v>265</v>
      </c>
      <c r="B8" s="9" t="n">
        <v>95</v>
      </c>
      <c r="C8" s="9" t="n">
        <v>120000</v>
      </c>
      <c r="D8" s="14" t="n">
        <f aca="false">B8*C8</f>
        <v>11400000</v>
      </c>
    </row>
    <row r="9" customFormat="false" ht="15" hidden="false" customHeight="false" outlineLevel="0" collapsed="false">
      <c r="A9" s="5" t="s">
        <v>266</v>
      </c>
      <c r="B9" s="9" t="n">
        <v>1250</v>
      </c>
      <c r="C9" s="9" t="n">
        <v>9000</v>
      </c>
      <c r="D9" s="14" t="n">
        <f aca="false">B9*C9</f>
        <v>11250000</v>
      </c>
    </row>
    <row r="10" customFormat="false" ht="15" hidden="false" customHeight="false" outlineLevel="0" collapsed="false">
      <c r="A10" s="5" t="s">
        <v>267</v>
      </c>
      <c r="B10" s="9" t="n">
        <v>600</v>
      </c>
      <c r="C10" s="9" t="n">
        <v>8000</v>
      </c>
      <c r="D10" s="14" t="n">
        <f aca="false">B10*C10</f>
        <v>4800000</v>
      </c>
    </row>
    <row r="11" customFormat="false" ht="15" hidden="false" customHeight="false" outlineLevel="0" collapsed="false">
      <c r="A11" s="5" t="s">
        <v>268</v>
      </c>
      <c r="B11" s="9" t="n">
        <v>200</v>
      </c>
      <c r="C11" s="9" t="n">
        <v>15000</v>
      </c>
      <c r="D11" s="14" t="n">
        <f aca="false">B11*C11</f>
        <v>3000000</v>
      </c>
    </row>
    <row r="12" customFormat="false" ht="15" hidden="false" customHeight="false" outlineLevel="0" collapsed="false">
      <c r="A12" s="11" t="s">
        <v>269</v>
      </c>
      <c r="B12" s="10"/>
      <c r="C12" s="10"/>
      <c r="D12" s="12" t="n">
        <f aca="false">SUM(D5:D11)</f>
        <v>95000000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18.55" hidden="false" customHeight="false" outlineLevel="0" collapsed="false">
      <c r="A1" s="7" t="s">
        <v>270</v>
      </c>
    </row>
    <row r="2" customFormat="false" ht="15" hidden="false" customHeight="false" outlineLevel="0" collapsed="false">
      <c r="A2" s="2" t="s">
        <v>271</v>
      </c>
    </row>
    <row r="4" customFormat="false" ht="15" hidden="false" customHeight="false" outlineLevel="0" collapsed="false">
      <c r="A4" s="3" t="s">
        <v>272</v>
      </c>
      <c r="B4" s="3" t="s">
        <v>189</v>
      </c>
      <c r="C4" s="3" t="s">
        <v>273</v>
      </c>
      <c r="D4" s="3" t="s">
        <v>274</v>
      </c>
      <c r="E4" s="8" t="s">
        <v>190</v>
      </c>
    </row>
    <row r="5" customFormat="false" ht="15" hidden="false" customHeight="false" outlineLevel="0" collapsed="false">
      <c r="A5" s="4" t="s">
        <v>275</v>
      </c>
      <c r="B5" s="5" t="s">
        <v>276</v>
      </c>
      <c r="C5" s="5" t="s">
        <v>277</v>
      </c>
      <c r="D5" s="19" t="s">
        <v>278</v>
      </c>
      <c r="E5" s="9" t="n">
        <v>7300000</v>
      </c>
    </row>
    <row r="6" customFormat="false" ht="15" hidden="false" customHeight="false" outlineLevel="0" collapsed="false">
      <c r="A6" s="4" t="s">
        <v>279</v>
      </c>
      <c r="B6" s="5" t="s">
        <v>280</v>
      </c>
      <c r="C6" s="5" t="s">
        <v>281</v>
      </c>
      <c r="D6" s="19" t="s">
        <v>197</v>
      </c>
      <c r="E6" s="9" t="n">
        <v>6800000</v>
      </c>
    </row>
    <row r="7" customFormat="false" ht="15" hidden="false" customHeight="false" outlineLevel="0" collapsed="false">
      <c r="A7" s="4" t="s">
        <v>282</v>
      </c>
      <c r="B7" s="5" t="s">
        <v>283</v>
      </c>
      <c r="C7" s="5" t="s">
        <v>284</v>
      </c>
      <c r="D7" s="19" t="s">
        <v>285</v>
      </c>
      <c r="E7" s="9" t="n">
        <v>1900000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2026-06-23T06:14:27Z</dcterms:created>
  <dc:creator>openpyxl</dc:creator>
  <dc:description/>
  <dc:language>en-US</dc:language>
  <cp:lastModifiedBy/>
  <dcterms:modified xsi:type="dcterms:W3CDTF">2026-06-23T06:14:27Z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