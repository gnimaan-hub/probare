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alance générale" sheetId="2" state="visible" r:id="rId4"/>
    <sheet name="Bilan" sheetId="3" state="visible" r:id="rId5"/>
    <sheet name="Compte de résultat" sheetId="4" state="visible" r:id="rId6"/>
    <sheet name="Balance aux. clients" sheetId="5" state="visible" r:id="rId7"/>
    <sheet name="Balance aux. fournisseurs" sheetId="6" state="visible" r:id="rId8"/>
    <sheet name="Rapprochement bancaire" sheetId="7" state="visible" r:id="rId9"/>
    <sheet name="Grand-livre (extraits)" sheetId="8" state="visible" r:id="rId10"/>
    <sheet name="Factures reçues janvier 20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<sst xmlns="http://schemas.openxmlformats.org/spreadsheetml/2006/main" count="246" uniqueCount="222">
  <si>
    <t xml:space="preserve">MARSA DISTRIBUTION SARL — Dossier d'audit pédagogique (cas fictif)</t>
  </si>
  <si>
    <t xml:space="preserve">Données comptables de l'exercice clos le 31/12/2025 — Monnaie : Franc Djibouti (FDJ)</t>
  </si>
  <si>
    <t xml:space="preserve">À QUOI SERT CE FICHIER</t>
  </si>
  <si>
    <t xml:space="preserve">Ce classeur contient la comptabilité d'une entreprise fictive. C'est la matière première de l'audit :</t>
  </si>
  <si>
    <t xml:space="preserve">vous l'importez dans Probare, puis vous déroulez la mission d'audit de A à Z.</t>
  </si>
  <si>
    <t xml:space="preserve">CONTENU DES ONGLETS</t>
  </si>
  <si>
    <t xml:space="preserve">• Balance générale — tous les comptes (classes 1 à 7) avec leur solde au 31/12/2025.</t>
  </si>
  <si>
    <t xml:space="preserve">• Bilan / Compte de résultat — états financiers de synthèse, avec comparatif N-1.</t>
  </si>
  <si>
    <t xml:space="preserve">• Balance aux. clients / fournisseurs — détail des comptes 411 et 401, tiers par tiers.</t>
  </si>
  <si>
    <t xml:space="preserve">• Rapprochement bancaire — solde livre vs relevé, éléments de rapprochement.</t>
  </si>
  <si>
    <t xml:space="preserve">• Grand-livre (extraits) — écritures des comptes sensibles.</t>
  </si>
  <si>
    <t xml:space="preserve">• Factures reçues en janvier 2026 — pièces pour le test de séparation des exercices (cut-off).</t>
  </si>
  <si>
    <t xml:space="preserve">CE QUE VOUS DEVEZ TROUVER</t>
  </si>
  <si>
    <t xml:space="preserve">Le jeu de données contient plusieurs anomalies volontaires, à détecter pendant l'audit.</t>
  </si>
  <si>
    <t xml:space="preserve">Elles ne sont PAS listées ici : le corrigé complet se trouve dans le dossier Word qui accompagne ce fichier.</t>
  </si>
  <si>
    <t xml:space="preserve">Travaillez d'abord le cas, puis comparez vos conclusions (et celles de Probare) au corrigé.</t>
  </si>
  <si>
    <t xml:space="preserve">CONTEXTE DE LA MISSION</t>
  </si>
  <si>
    <t xml:space="preserve">MARSA Distribution est un grossiste en produits alimentaires et d'hygiène basé à Djibouti.</t>
  </si>
  <si>
    <t xml:space="preserve">La société sollicite un financement bancaire ; la banque exige un audit contractuel de ses comptes 2025.</t>
  </si>
  <si>
    <t xml:space="preserve">L'audit est donc CONTRACTUEL (périmètre V1 de Probare) — pas de certification légale.</t>
  </si>
  <si>
    <t xml:space="preserve">Toute ressemblance avec des entités réelles serait fortuite : noms, chiffres et faits sont inventés.</t>
  </si>
  <si>
    <t xml:space="preserve">Balance générale au 31/12/2025</t>
  </si>
  <si>
    <t xml:space="preserve">MARSA DISTRIBUTION SARL — montants en FDJ</t>
  </si>
  <si>
    <t xml:space="preserve">Compte</t>
  </si>
  <si>
    <t xml:space="preserve">Intitulé</t>
  </si>
  <si>
    <t xml:space="preserve">Solde débiteur</t>
  </si>
  <si>
    <t xml:space="preserve">Solde créditeur</t>
  </si>
  <si>
    <t xml:space="preserve">101</t>
  </si>
  <si>
    <t xml:space="preserve">Capital social</t>
  </si>
  <si>
    <t xml:space="preserve">106</t>
  </si>
  <si>
    <t xml:space="preserve">Réserves</t>
  </si>
  <si>
    <t xml:space="preserve">164</t>
  </si>
  <si>
    <t xml:space="preserve">Emprunts auprès des établissements de crédit</t>
  </si>
  <si>
    <t xml:space="preserve">215</t>
  </si>
  <si>
    <t xml:space="preserve">Installations techniques, matériel et outillage</t>
  </si>
  <si>
    <t xml:space="preserve">218</t>
  </si>
  <si>
    <t xml:space="preserve">Autres immobilisations corporelles (mobilier, véhicules)</t>
  </si>
  <si>
    <t xml:space="preserve">281</t>
  </si>
  <si>
    <t xml:space="preserve">Amortissements des immobilisations corporelles</t>
  </si>
  <si>
    <t xml:space="preserve">37</t>
  </si>
  <si>
    <t xml:space="preserve">Stocks de marchandises</t>
  </si>
  <si>
    <t xml:space="preserve">401</t>
  </si>
  <si>
    <t xml:space="preserve">Fournisseurs</t>
  </si>
  <si>
    <t xml:space="preserve">411</t>
  </si>
  <si>
    <t xml:space="preserve">Clients</t>
  </si>
  <si>
    <t xml:space="preserve">44566</t>
  </si>
  <si>
    <t xml:space="preserve">TVA déductible et autres créances fiscales</t>
  </si>
  <si>
    <t xml:space="preserve">42/43</t>
  </si>
  <si>
    <t xml:space="preserve">Personnel et organismes sociaux (dettes)</t>
  </si>
  <si>
    <t xml:space="preserve">444</t>
  </si>
  <si>
    <t xml:space="preserve">État — impôts et taxes (dettes)</t>
  </si>
  <si>
    <t xml:space="preserve">46</t>
  </si>
  <si>
    <t xml:space="preserve">Autres dettes</t>
  </si>
  <si>
    <t xml:space="preserve">491</t>
  </si>
  <si>
    <t xml:space="preserve">Dépréciation des comptes clients</t>
  </si>
  <si>
    <t xml:space="preserve">512</t>
  </si>
  <si>
    <t xml:space="preserve">Banque</t>
  </si>
  <si>
    <t xml:space="preserve">53</t>
  </si>
  <si>
    <t xml:space="preserve">Caisse</t>
  </si>
  <si>
    <t xml:space="preserve">607</t>
  </si>
  <si>
    <t xml:space="preserve">Achats de marchandises</t>
  </si>
  <si>
    <t xml:space="preserve">6037</t>
  </si>
  <si>
    <t xml:space="preserve">Variation des stocks de marchandises</t>
  </si>
  <si>
    <t xml:space="preserve">61/62</t>
  </si>
  <si>
    <t xml:space="preserve">Autres charges externes</t>
  </si>
  <si>
    <t xml:space="preserve">63</t>
  </si>
  <si>
    <t xml:space="preserve">Impôts, taxes et versements assimilés</t>
  </si>
  <si>
    <t xml:space="preserve">64</t>
  </si>
  <si>
    <t xml:space="preserve">Charges de personnel</t>
  </si>
  <si>
    <t xml:space="preserve">661</t>
  </si>
  <si>
    <t xml:space="preserve">Charges d'intérêts</t>
  </si>
  <si>
    <t xml:space="preserve">681</t>
  </si>
  <si>
    <t xml:space="preserve">Dotations aux amortissements</t>
  </si>
  <si>
    <t xml:space="preserve">6817</t>
  </si>
  <si>
    <t xml:space="preserve">Dotations aux dépréciations des actifs circulants</t>
  </si>
  <si>
    <t xml:space="preserve">69</t>
  </si>
  <si>
    <t xml:space="preserve">Impôts sur les bénéfices</t>
  </si>
  <si>
    <t xml:space="preserve">707</t>
  </si>
  <si>
    <t xml:space="preserve">Ventes de marchandises</t>
  </si>
  <si>
    <t xml:space="preserve">TOTAUX</t>
  </si>
  <si>
    <t xml:space="preserve">Contrôle équilibre (doit = 0)</t>
  </si>
  <si>
    <t xml:space="preserve">Bilan au 31/12/2025</t>
  </si>
  <si>
    <t xml:space="preserve">ACTIF</t>
  </si>
  <si>
    <t xml:space="preserve">Net 2025</t>
  </si>
  <si>
    <t xml:space="preserve">Net 2024</t>
  </si>
  <si>
    <t xml:space="preserve">Immobilisations corporelles (nettes)</t>
  </si>
  <si>
    <t xml:space="preserve">Clients et comptes rattachés (nets)</t>
  </si>
  <si>
    <t xml:space="preserve">Autres créances</t>
  </si>
  <si>
    <t xml:space="preserve">TOTAL ACTIF</t>
  </si>
  <si>
    <t xml:space="preserve">PASSIF</t>
  </si>
  <si>
    <t xml:space="preserve">Résultat de l'exercice</t>
  </si>
  <si>
    <t xml:space="preserve">Fournisseurs et comptes rattachés</t>
  </si>
  <si>
    <t xml:space="preserve">Dettes fiscales et sociales</t>
  </si>
  <si>
    <t xml:space="preserve">TOTAL PASSIF</t>
  </si>
  <si>
    <t xml:space="preserve">Contrôle équilibre actif - passif (doit = 0)</t>
  </si>
  <si>
    <t xml:space="preserve">Compte de résultat 2025</t>
  </si>
  <si>
    <t xml:space="preserve">Poste</t>
  </si>
  <si>
    <t xml:space="preserve">2025</t>
  </si>
  <si>
    <t xml:space="preserve">2024</t>
  </si>
  <si>
    <t xml:space="preserve">Coût d'achat des marchandises vendues</t>
  </si>
  <si>
    <t xml:space="preserve">MARGE COMMERCIALE</t>
  </si>
  <si>
    <t xml:space="preserve">Impôts et taxes</t>
  </si>
  <si>
    <t xml:space="preserve">Dotations aux dépréciations</t>
  </si>
  <si>
    <t xml:space="preserve">RÉSULTAT D'EXPLOITATION</t>
  </si>
  <si>
    <t xml:space="preserve">Charges financières</t>
  </si>
  <si>
    <t xml:space="preserve">RÉSULTAT AVANT IMPÔT</t>
  </si>
  <si>
    <t xml:space="preserve">Impôt sur les bénéfices</t>
  </si>
  <si>
    <t xml:space="preserve">RÉSULTAT NET</t>
  </si>
  <si>
    <t xml:space="preserve">Balance auxiliaire clients au 31/12/2025</t>
  </si>
  <si>
    <t xml:space="preserve">Détail du compte 411 — montants en FDJ</t>
  </si>
  <si>
    <t xml:space="preserve">Code</t>
  </si>
  <si>
    <t xml:space="preserve">Client</t>
  </si>
  <si>
    <t xml:space="preserve">Solde 2025</t>
  </si>
  <si>
    <t xml:space="preserve">Observation</t>
  </si>
  <si>
    <t xml:space="preserve">C001</t>
  </si>
  <si>
    <t xml:space="preserve">Restaurant La Mer Rouge</t>
  </si>
  <si>
    <t xml:space="preserve">C002</t>
  </si>
  <si>
    <t xml:space="preserve">Supérette Balbala Plus</t>
  </si>
  <si>
    <t xml:space="preserve">Circularisation envoyée</t>
  </si>
  <si>
    <t xml:space="preserve">C003</t>
  </si>
  <si>
    <t xml:space="preserve">Hôtel Djibouti Palace</t>
  </si>
  <si>
    <t xml:space="preserve">C004</t>
  </si>
  <si>
    <t xml:space="preserve">Épicerie Hodan</t>
  </si>
  <si>
    <t xml:space="preserve">C005</t>
  </si>
  <si>
    <t xml:space="preserve">Pharmacie Ambouli</t>
  </si>
  <si>
    <t xml:space="preserve">C006</t>
  </si>
  <si>
    <t xml:space="preserve">Station Total Service</t>
  </si>
  <si>
    <t xml:space="preserve">C007</t>
  </si>
  <si>
    <t xml:space="preserve">Société Tadjoura Négoce</t>
  </si>
  <si>
    <t xml:space="preserve">Échu depuis &gt; 12 mois — en litige</t>
  </si>
  <si>
    <t xml:space="preserve">C008</t>
  </si>
  <si>
    <t xml:space="preserve">Mini-Market Héron</t>
  </si>
  <si>
    <t xml:space="preserve">C009</t>
  </si>
  <si>
    <t xml:space="preserve">Société Obock Trading</t>
  </si>
  <si>
    <t xml:space="preserve">Dont facture FA-2025-0412 du 31/12</t>
  </si>
  <si>
    <t xml:space="preserve">C010</t>
  </si>
  <si>
    <t xml:space="preserve">Boulangerie Venise</t>
  </si>
  <si>
    <t xml:space="preserve">TOTAL (doit = solde du compte 411 : 58 000 000)</t>
  </si>
  <si>
    <t xml:space="preserve">Balance auxiliaire fournisseurs au 31/12/2025</t>
  </si>
  <si>
    <t xml:space="preserve">Détail du compte 401 — montants en FDJ</t>
  </si>
  <si>
    <t xml:space="preserve">Fournisseur</t>
  </si>
  <si>
    <t xml:space="preserve">F001</t>
  </si>
  <si>
    <t xml:space="preserve">Société d'Importation MARIL</t>
  </si>
  <si>
    <t xml:space="preserve">F002</t>
  </si>
  <si>
    <t xml:space="preserve">Grossiste Al Madina</t>
  </si>
  <si>
    <t xml:space="preserve">F003</t>
  </si>
  <si>
    <t xml:space="preserve">Transit Port de Djibouti SARL</t>
  </si>
  <si>
    <t xml:space="preserve">Chèque n°2451 émis le 29/12</t>
  </si>
  <si>
    <t xml:space="preserve">F004</t>
  </si>
  <si>
    <t xml:space="preserve">Ets Warsama Frères</t>
  </si>
  <si>
    <t xml:space="preserve">F005</t>
  </si>
  <si>
    <t xml:space="preserve">Société Cosmétique Plus</t>
  </si>
  <si>
    <t xml:space="preserve">F006</t>
  </si>
  <si>
    <t xml:space="preserve">Fournitures Bureau Office Pro</t>
  </si>
  <si>
    <t xml:space="preserve">F007</t>
  </si>
  <si>
    <t xml:space="preserve">Société Emballages Modernes</t>
  </si>
  <si>
    <t xml:space="preserve">F008</t>
  </si>
  <si>
    <t xml:space="preserve">Distrib Boissons Sahel</t>
  </si>
  <si>
    <t xml:space="preserve">TOTAL (doit = solde du compte 401 : 48 000 000)</t>
  </si>
  <si>
    <t xml:space="preserve">Rapprochement bancaire au 31/12/2025</t>
  </si>
  <si>
    <t xml:space="preserve">Compte 512 — Banque — montants en FDJ</t>
  </si>
  <si>
    <t xml:space="preserve">Élément</t>
  </si>
  <si>
    <t xml:space="preserve">Montant</t>
  </si>
  <si>
    <t xml:space="preserve">Solde du compte 512 dans les livres (comptable)</t>
  </si>
  <si>
    <t xml:space="preserve">Agios et frais bancaires du 31/12 non comptabilisés</t>
  </si>
  <si>
    <t xml:space="preserve">Solde comptable corrigé</t>
  </si>
  <si>
    <t xml:space="preserve">Solde du relevé bancaire au 31/12/2025</t>
  </si>
  <si>
    <t xml:space="preserve">Chèque n°2451 émis le 29/12 (F003), non encore débité</t>
  </si>
  <si>
    <t xml:space="preserve">Remise de chèques du 30/12, non encore créditée</t>
  </si>
  <si>
    <t xml:space="preserve">Solde relevé corrigé</t>
  </si>
  <si>
    <t xml:space="preserve">Écart après rapprochement (doit = 0)</t>
  </si>
  <si>
    <t xml:space="preserve">Grand-livre — extraits des comptes sensibles</t>
  </si>
  <si>
    <t xml:space="preserve">Écritures sélectionnées — montants en FDJ</t>
  </si>
  <si>
    <t xml:space="preserve">Date</t>
  </si>
  <si>
    <t xml:space="preserve">Pièce</t>
  </si>
  <si>
    <t xml:space="preserve">Libellé</t>
  </si>
  <si>
    <t xml:space="preserve">Débit</t>
  </si>
  <si>
    <t xml:space="preserve">Crédit</t>
  </si>
  <si>
    <t xml:space="preserve">Compte 707 — Ventes de marchandises</t>
  </si>
  <si>
    <t xml:space="preserve">28/12/2025</t>
  </si>
  <si>
    <t xml:space="preserve">FA-2025-0408</t>
  </si>
  <si>
    <t xml:space="preserve">Vente Hôtel Djibouti Palace</t>
  </si>
  <si>
    <t xml:space="preserve">31/12/2025</t>
  </si>
  <si>
    <t xml:space="preserve">FA-2025-0412</t>
  </si>
  <si>
    <t xml:space="preserve">Vente Société Obock Trading (BL daté du 03/01/2026)</t>
  </si>
  <si>
    <t xml:space="preserve">FA-2025-0413</t>
  </si>
  <si>
    <t xml:space="preserve">Vente Restaurant La Mer Rouge</t>
  </si>
  <si>
    <t xml:space="preserve">Compte 401/607 — Achats</t>
  </si>
  <si>
    <t xml:space="preserve">27/12/2025</t>
  </si>
  <si>
    <t xml:space="preserve">FF-1187</t>
  </si>
  <si>
    <t xml:space="preserve">Achat marchandises MARIL</t>
  </si>
  <si>
    <t xml:space="preserve">BL Al Madina n°5567</t>
  </si>
  <si>
    <t xml:space="preserve">Réception marchandises Al Madina (facture non parvenue au 31/12)</t>
  </si>
  <si>
    <t xml:space="preserve">—</t>
  </si>
  <si>
    <t xml:space="preserve">Compte 491 — Dépréciation clients</t>
  </si>
  <si>
    <t xml:space="preserve">OD-31</t>
  </si>
  <si>
    <t xml:space="preserve">Dotation dépréciation créances douteuses</t>
  </si>
  <si>
    <t xml:space="preserve">Compte 512 — Banque</t>
  </si>
  <si>
    <t xml:space="preserve">29/12/2025</t>
  </si>
  <si>
    <t xml:space="preserve">CHQ-2451</t>
  </si>
  <si>
    <t xml:space="preserve">Règlement fournisseur Transit Port (F003)</t>
  </si>
  <si>
    <t xml:space="preserve">30/12/2025</t>
  </si>
  <si>
    <t xml:space="preserve">REM-094</t>
  </si>
  <si>
    <t xml:space="preserve">Remise de chèques clients</t>
  </si>
  <si>
    <t xml:space="preserve">Factures fournisseurs reçues en janvier 2026</t>
  </si>
  <si>
    <t xml:space="preserve">Pour le test de séparation des exercices (cut-off achats) — FDJ</t>
  </si>
  <si>
    <t xml:space="preserve">Date facture</t>
  </si>
  <si>
    <t xml:space="preserve">N° facture</t>
  </si>
  <si>
    <t xml:space="preserve">Fournisseur / objet</t>
  </si>
  <si>
    <t xml:space="preserve">Date de livraison</t>
  </si>
  <si>
    <t xml:space="preserve">Montant TTC</t>
  </si>
  <si>
    <t xml:space="preserve">06/01/2026</t>
  </si>
  <si>
    <t xml:space="preserve">FF-1203</t>
  </si>
  <si>
    <t xml:space="preserve">MARIL — réassort janvier</t>
  </si>
  <si>
    <t xml:space="preserve">05/01/2026</t>
  </si>
  <si>
    <t xml:space="preserve">08/01/2026</t>
  </si>
  <si>
    <t xml:space="preserve">AM-2026-014</t>
  </si>
  <si>
    <t xml:space="preserve">Grossiste Al Madina — marchandises livrées le 28/12/2025</t>
  </si>
  <si>
    <t xml:space="preserve">12/01/2026</t>
  </si>
  <si>
    <t xml:space="preserve">EM-880</t>
  </si>
  <si>
    <t xml:space="preserve">Société Emballages Modernes — janvier</t>
  </si>
  <si>
    <t xml:space="preserve">10/01/2026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</si>
</sst>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85041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8504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E8A020"/>
      <name val="Arial"/>
      <family val="0"/>
      <charset val="1"/>
    </font>
    <font>
      <b val="true"/>
      <sz val="11"/>
      <color rgb="FF9A6A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1"/>
      <color rgb="FF085041"/>
      <name val="Arial"/>
      <family val="0"/>
      <charset val="1"/>
    </font>
    <font>
      <i val="true"/>
      <sz val="11"/>
      <color rgb="FF9A6A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5041"/>
        <bgColor rgb="FF003300"/>
      </patternFill>
    </fill>
    <fill>
      <patternFill patternType="solid">
        <fgColor rgb="FFF2F6F4"/>
        <bgColor rgb="FFFFFFFF"/>
      </patternFill>
    </fill>
    <fill>
      <patternFill patternType="solid">
        <fgColor rgb="FF1D9E7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10"/>
      <rgbColor rgb="FF800080"/>
      <rgbColor rgb="FF008080"/>
      <rgbColor rgb="FFCCCCCC"/>
      <rgbColor rgb="FF808080"/>
      <rgbColor rgb="FF9999FF"/>
      <rgbColor rgb="FF993366"/>
      <rgbColor rgb="FFF2F6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555555"/>
      <rgbColor rgb="FF969696"/>
      <rgbColor rgb="FF085041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5" t="s">
        <v>10</v>
      </c>
    </row>
    <row r="14" customFormat="false" ht="15" hidden="false" customHeight="false" outlineLevel="0" collapsed="false">
      <c r="B14" s="5" t="s">
        <v>11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6" t="s">
        <v>12</v>
      </c>
    </row>
    <row r="17" customFormat="false" ht="15" hidden="false" customHeight="false" outlineLevel="0" collapsed="false">
      <c r="B17" s="7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5" t="s">
        <v>15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5" t="s">
        <v>18</v>
      </c>
    </row>
    <row r="24" customFormat="false" ht="15" hidden="false" customHeight="false" outlineLevel="0" collapsed="false">
      <c r="B24" s="5" t="s">
        <v>19</v>
      </c>
    </row>
    <row r="25" customFormat="false" ht="15" hidden="false" customHeight="false" outlineLevel="0" collapsed="false">
      <c r="B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4" min="3" style="0" width="18"/>
  </cols>
  <sheetData>
    <row r="1" customFormat="false" ht="18.55" hidden="false" customHeight="false" outlineLevel="0" collapsed="false">
      <c r="A1" s="1" t="s">
        <v>21</v>
      </c>
    </row>
    <row r="2" customFormat="false" ht="15" hidden="false" customHeight="false" outlineLevel="0" collapsed="false">
      <c r="A2" s="8" t="s">
        <v>22</v>
      </c>
    </row>
    <row r="4" customFormat="false" ht="15" hidden="false" customHeight="false" outlineLevel="0" collapsed="false">
      <c r="A4" s="9" t="s">
        <v>23</v>
      </c>
      <c r="B4" s="9" t="s">
        <v>24</v>
      </c>
      <c r="C4" s="10" t="s">
        <v>25</v>
      </c>
      <c r="D4" s="10" t="s">
        <v>26</v>
      </c>
    </row>
    <row r="5" customFormat="false" ht="15" hidden="false" customHeight="false" outlineLevel="0" collapsed="false">
      <c r="A5" s="11" t="s">
        <v>27</v>
      </c>
      <c r="B5" s="12" t="s">
        <v>28</v>
      </c>
      <c r="C5" s="13"/>
      <c r="D5" s="13" t="n">
        <v>30000000</v>
      </c>
    </row>
    <row r="6" customFormat="false" ht="15" hidden="false" customHeight="false" outlineLevel="0" collapsed="false">
      <c r="A6" s="11" t="s">
        <v>29</v>
      </c>
      <c r="B6" s="12" t="s">
        <v>30</v>
      </c>
      <c r="C6" s="13"/>
      <c r="D6" s="13" t="n">
        <v>20000000</v>
      </c>
    </row>
    <row r="7" customFormat="false" ht="15" hidden="false" customHeight="false" outlineLevel="0" collapsed="false">
      <c r="A7" s="11" t="s">
        <v>31</v>
      </c>
      <c r="B7" s="12" t="s">
        <v>32</v>
      </c>
      <c r="C7" s="13"/>
      <c r="D7" s="13" t="n">
        <v>35000000</v>
      </c>
    </row>
    <row r="8" customFormat="false" ht="15" hidden="false" customHeight="false" outlineLevel="0" collapsed="false">
      <c r="A8" s="11" t="s">
        <v>33</v>
      </c>
      <c r="B8" s="12" t="s">
        <v>34</v>
      </c>
      <c r="C8" s="13" t="n">
        <v>25000000</v>
      </c>
      <c r="D8" s="13"/>
    </row>
    <row r="9" customFormat="false" ht="15" hidden="false" customHeight="false" outlineLevel="0" collapsed="false">
      <c r="A9" s="11" t="s">
        <v>35</v>
      </c>
      <c r="B9" s="12" t="s">
        <v>36</v>
      </c>
      <c r="C9" s="13" t="n">
        <v>20000000</v>
      </c>
      <c r="D9" s="13"/>
    </row>
    <row r="10" customFormat="false" ht="15" hidden="false" customHeight="false" outlineLevel="0" collapsed="false">
      <c r="A10" s="11" t="s">
        <v>37</v>
      </c>
      <c r="B10" s="12" t="s">
        <v>38</v>
      </c>
      <c r="C10" s="13"/>
      <c r="D10" s="13" t="n">
        <v>18000000</v>
      </c>
    </row>
    <row r="11" customFormat="false" ht="15" hidden="false" customHeight="false" outlineLevel="0" collapsed="false">
      <c r="A11" s="11" t="s">
        <v>39</v>
      </c>
      <c r="B11" s="12" t="s">
        <v>40</v>
      </c>
      <c r="C11" s="13" t="n">
        <v>62000000</v>
      </c>
      <c r="D11" s="13"/>
    </row>
    <row r="12" customFormat="false" ht="15" hidden="false" customHeight="false" outlineLevel="0" collapsed="false">
      <c r="A12" s="11" t="s">
        <v>41</v>
      </c>
      <c r="B12" s="12" t="s">
        <v>42</v>
      </c>
      <c r="C12" s="13"/>
      <c r="D12" s="13" t="n">
        <v>48000000</v>
      </c>
    </row>
    <row r="13" customFormat="false" ht="15" hidden="false" customHeight="false" outlineLevel="0" collapsed="false">
      <c r="A13" s="11" t="s">
        <v>43</v>
      </c>
      <c r="B13" s="12" t="s">
        <v>44</v>
      </c>
      <c r="C13" s="13" t="n">
        <v>58000000</v>
      </c>
      <c r="D13" s="13"/>
    </row>
    <row r="14" customFormat="false" ht="15" hidden="false" customHeight="false" outlineLevel="0" collapsed="false">
      <c r="A14" s="11" t="s">
        <v>45</v>
      </c>
      <c r="B14" s="12" t="s">
        <v>46</v>
      </c>
      <c r="C14" s="13" t="n">
        <v>4000000</v>
      </c>
      <c r="D14" s="13"/>
    </row>
    <row r="15" customFormat="false" ht="15" hidden="false" customHeight="false" outlineLevel="0" collapsed="false">
      <c r="A15" s="11" t="s">
        <v>47</v>
      </c>
      <c r="B15" s="12" t="s">
        <v>48</v>
      </c>
      <c r="C15" s="13"/>
      <c r="D15" s="13" t="n">
        <v>7000000</v>
      </c>
    </row>
    <row r="16" customFormat="false" ht="15" hidden="false" customHeight="false" outlineLevel="0" collapsed="false">
      <c r="A16" s="11" t="s">
        <v>49</v>
      </c>
      <c r="B16" s="12" t="s">
        <v>50</v>
      </c>
      <c r="C16" s="13"/>
      <c r="D16" s="13" t="n">
        <v>5000000</v>
      </c>
    </row>
    <row r="17" customFormat="false" ht="15" hidden="false" customHeight="false" outlineLevel="0" collapsed="false">
      <c r="A17" s="11" t="s">
        <v>51</v>
      </c>
      <c r="B17" s="12" t="s">
        <v>52</v>
      </c>
      <c r="C17" s="13"/>
      <c r="D17" s="13" t="n">
        <v>4000000</v>
      </c>
    </row>
    <row r="18" customFormat="false" ht="15" hidden="false" customHeight="false" outlineLevel="0" collapsed="false">
      <c r="A18" s="11" t="s">
        <v>53</v>
      </c>
      <c r="B18" s="12" t="s">
        <v>54</v>
      </c>
      <c r="C18" s="13"/>
      <c r="D18" s="13" t="n">
        <v>2000000</v>
      </c>
    </row>
    <row r="19" customFormat="false" ht="15" hidden="false" customHeight="false" outlineLevel="0" collapsed="false">
      <c r="A19" s="11" t="s">
        <v>55</v>
      </c>
      <c r="B19" s="12" t="s">
        <v>56</v>
      </c>
      <c r="C19" s="13" t="n">
        <v>21000000</v>
      </c>
      <c r="D19" s="13"/>
    </row>
    <row r="20" customFormat="false" ht="15" hidden="false" customHeight="false" outlineLevel="0" collapsed="false">
      <c r="A20" s="11" t="s">
        <v>57</v>
      </c>
      <c r="B20" s="12" t="s">
        <v>58</v>
      </c>
      <c r="C20" s="13" t="n">
        <v>1000000</v>
      </c>
      <c r="D20" s="13"/>
    </row>
    <row r="21" customFormat="false" ht="15" hidden="false" customHeight="false" outlineLevel="0" collapsed="false">
      <c r="A21" s="11" t="s">
        <v>59</v>
      </c>
      <c r="B21" s="12" t="s">
        <v>60</v>
      </c>
      <c r="C21" s="13" t="n">
        <v>300000000</v>
      </c>
      <c r="D21" s="13"/>
    </row>
    <row r="22" customFormat="false" ht="15" hidden="false" customHeight="false" outlineLevel="0" collapsed="false">
      <c r="A22" s="11" t="s">
        <v>61</v>
      </c>
      <c r="B22" s="12" t="s">
        <v>62</v>
      </c>
      <c r="C22" s="13"/>
      <c r="D22" s="13" t="n">
        <v>7000000</v>
      </c>
    </row>
    <row r="23" customFormat="false" ht="15" hidden="false" customHeight="false" outlineLevel="0" collapsed="false">
      <c r="A23" s="11" t="s">
        <v>63</v>
      </c>
      <c r="B23" s="12" t="s">
        <v>64</v>
      </c>
      <c r="C23" s="13" t="n">
        <v>45000000</v>
      </c>
      <c r="D23" s="13"/>
    </row>
    <row r="24" customFormat="false" ht="15" hidden="false" customHeight="false" outlineLevel="0" collapsed="false">
      <c r="A24" s="11" t="s">
        <v>65</v>
      </c>
      <c r="B24" s="12" t="s">
        <v>66</v>
      </c>
      <c r="C24" s="13" t="n">
        <v>3000000</v>
      </c>
      <c r="D24" s="13"/>
    </row>
    <row r="25" customFormat="false" ht="15" hidden="false" customHeight="false" outlineLevel="0" collapsed="false">
      <c r="A25" s="11" t="s">
        <v>67</v>
      </c>
      <c r="B25" s="12" t="s">
        <v>68</v>
      </c>
      <c r="C25" s="13" t="n">
        <v>38000000</v>
      </c>
      <c r="D25" s="13"/>
    </row>
    <row r="26" customFormat="false" ht="15" hidden="false" customHeight="false" outlineLevel="0" collapsed="false">
      <c r="A26" s="11" t="s">
        <v>69</v>
      </c>
      <c r="B26" s="12" t="s">
        <v>70</v>
      </c>
      <c r="C26" s="13" t="n">
        <v>2500000</v>
      </c>
      <c r="D26" s="13"/>
    </row>
    <row r="27" customFormat="false" ht="15" hidden="false" customHeight="false" outlineLevel="0" collapsed="false">
      <c r="A27" s="11" t="s">
        <v>71</v>
      </c>
      <c r="B27" s="12" t="s">
        <v>72</v>
      </c>
      <c r="C27" s="13" t="n">
        <v>6000000</v>
      </c>
      <c r="D27" s="13"/>
    </row>
    <row r="28" customFormat="false" ht="15" hidden="false" customHeight="false" outlineLevel="0" collapsed="false">
      <c r="A28" s="11" t="s">
        <v>73</v>
      </c>
      <c r="B28" s="12" t="s">
        <v>74</v>
      </c>
      <c r="C28" s="13" t="n">
        <v>2000000</v>
      </c>
      <c r="D28" s="13"/>
    </row>
    <row r="29" customFormat="false" ht="15" hidden="false" customHeight="false" outlineLevel="0" collapsed="false">
      <c r="A29" s="11" t="s">
        <v>75</v>
      </c>
      <c r="B29" s="12" t="s">
        <v>76</v>
      </c>
      <c r="C29" s="13" t="n">
        <v>500000</v>
      </c>
      <c r="D29" s="13"/>
    </row>
    <row r="30" customFormat="false" ht="15" hidden="false" customHeight="false" outlineLevel="0" collapsed="false">
      <c r="A30" s="11" t="s">
        <v>77</v>
      </c>
      <c r="B30" s="12" t="s">
        <v>78</v>
      </c>
      <c r="C30" s="13"/>
      <c r="D30" s="13" t="n">
        <v>412000000</v>
      </c>
    </row>
    <row r="31" customFormat="false" ht="15" hidden="false" customHeight="false" outlineLevel="0" collapsed="false">
      <c r="A31" s="14"/>
      <c r="B31" s="15" t="s">
        <v>79</v>
      </c>
      <c r="C31" s="16" t="n">
        <f aca="false">SUM(C5:C30)</f>
        <v>588000000</v>
      </c>
      <c r="D31" s="16" t="n">
        <f aca="false">SUM(D5:D30)</f>
        <v>588000000</v>
      </c>
    </row>
    <row r="33" customFormat="false" ht="15" hidden="false" customHeight="false" outlineLevel="0" collapsed="false">
      <c r="B33" s="17" t="s">
        <v>80</v>
      </c>
      <c r="C33" s="18" t="n">
        <f aca="false">C31-D31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</cols>
  <sheetData>
    <row r="1" customFormat="false" ht="18.55" hidden="false" customHeight="false" outlineLevel="0" collapsed="false">
      <c r="A1" s="1" t="s">
        <v>81</v>
      </c>
    </row>
    <row r="2" customFormat="false" ht="15" hidden="false" customHeight="false" outlineLevel="0" collapsed="false">
      <c r="A2" s="8" t="s">
        <v>22</v>
      </c>
    </row>
    <row r="4" customFormat="false" ht="15" hidden="false" customHeight="false" outlineLevel="0" collapsed="false">
      <c r="A4" s="9" t="s">
        <v>82</v>
      </c>
      <c r="B4" s="10" t="s">
        <v>83</v>
      </c>
      <c r="C4" s="10" t="s">
        <v>84</v>
      </c>
    </row>
    <row r="5" customFormat="false" ht="15" hidden="false" customHeight="false" outlineLevel="0" collapsed="false">
      <c r="A5" s="12" t="s">
        <v>85</v>
      </c>
      <c r="B5" s="13" t="n">
        <v>27000000</v>
      </c>
      <c r="C5" s="13" t="n">
        <v>28000000</v>
      </c>
    </row>
    <row r="6" customFormat="false" ht="15" hidden="false" customHeight="false" outlineLevel="0" collapsed="false">
      <c r="A6" s="12" t="s">
        <v>40</v>
      </c>
      <c r="B6" s="13" t="n">
        <v>62000000</v>
      </c>
      <c r="C6" s="13" t="n">
        <v>55000000</v>
      </c>
    </row>
    <row r="7" customFormat="false" ht="15" hidden="false" customHeight="false" outlineLevel="0" collapsed="false">
      <c r="A7" s="12" t="s">
        <v>86</v>
      </c>
      <c r="B7" s="13" t="n">
        <v>56000000</v>
      </c>
      <c r="C7" s="13" t="n">
        <v>42500000</v>
      </c>
    </row>
    <row r="8" customFormat="false" ht="15" hidden="false" customHeight="false" outlineLevel="0" collapsed="false">
      <c r="A8" s="12" t="s">
        <v>87</v>
      </c>
      <c r="B8" s="13" t="n">
        <v>4000000</v>
      </c>
      <c r="C8" s="13" t="n">
        <v>3500000</v>
      </c>
    </row>
    <row r="9" customFormat="false" ht="15" hidden="false" customHeight="false" outlineLevel="0" collapsed="false">
      <c r="A9" s="12" t="s">
        <v>56</v>
      </c>
      <c r="B9" s="13" t="n">
        <v>21000000</v>
      </c>
      <c r="C9" s="13" t="n">
        <v>16000000</v>
      </c>
    </row>
    <row r="10" customFormat="false" ht="15" hidden="false" customHeight="false" outlineLevel="0" collapsed="false">
      <c r="A10" s="12" t="s">
        <v>58</v>
      </c>
      <c r="B10" s="13" t="n">
        <v>1000000</v>
      </c>
      <c r="C10" s="13" t="n">
        <v>800000</v>
      </c>
    </row>
    <row r="11" customFormat="false" ht="15" hidden="false" customHeight="false" outlineLevel="0" collapsed="false">
      <c r="A11" s="15" t="s">
        <v>88</v>
      </c>
      <c r="B11" s="16" t="n">
        <f aca="false">SUM(B5:B10)</f>
        <v>171000000</v>
      </c>
      <c r="C11" s="16" t="n">
        <f aca="false">SUM(C5:C10)</f>
        <v>145800000</v>
      </c>
    </row>
    <row r="13" customFormat="false" ht="15" hidden="false" customHeight="false" outlineLevel="0" collapsed="false">
      <c r="A13" s="9" t="s">
        <v>89</v>
      </c>
      <c r="B13" s="10" t="s">
        <v>83</v>
      </c>
      <c r="C13" s="10" t="s">
        <v>84</v>
      </c>
    </row>
    <row r="14" customFormat="false" ht="15" hidden="false" customHeight="false" outlineLevel="0" collapsed="false">
      <c r="A14" s="12" t="s">
        <v>28</v>
      </c>
      <c r="B14" s="13" t="n">
        <v>30000000</v>
      </c>
      <c r="C14" s="13" t="n">
        <v>30000000</v>
      </c>
    </row>
    <row r="15" customFormat="false" ht="15" hidden="false" customHeight="false" outlineLevel="0" collapsed="false">
      <c r="A15" s="12" t="s">
        <v>30</v>
      </c>
      <c r="B15" s="13" t="n">
        <v>20000000</v>
      </c>
      <c r="C15" s="13" t="n">
        <v>14000000</v>
      </c>
    </row>
    <row r="16" customFormat="false" ht="15" hidden="false" customHeight="false" outlineLevel="0" collapsed="false">
      <c r="A16" s="12" t="s">
        <v>90</v>
      </c>
      <c r="B16" s="13" t="n">
        <v>22000000</v>
      </c>
      <c r="C16" s="13" t="n">
        <v>18000000</v>
      </c>
    </row>
    <row r="17" customFormat="false" ht="15" hidden="false" customHeight="false" outlineLevel="0" collapsed="false">
      <c r="A17" s="12" t="s">
        <v>32</v>
      </c>
      <c r="B17" s="13" t="n">
        <v>35000000</v>
      </c>
      <c r="C17" s="13" t="n">
        <v>30000000</v>
      </c>
    </row>
    <row r="18" customFormat="false" ht="15" hidden="false" customHeight="false" outlineLevel="0" collapsed="false">
      <c r="A18" s="12" t="s">
        <v>91</v>
      </c>
      <c r="B18" s="13" t="n">
        <v>48000000</v>
      </c>
      <c r="C18" s="13" t="n">
        <v>41000000</v>
      </c>
    </row>
    <row r="19" customFormat="false" ht="15" hidden="false" customHeight="false" outlineLevel="0" collapsed="false">
      <c r="A19" s="12" t="s">
        <v>92</v>
      </c>
      <c r="B19" s="13" t="n">
        <v>12000000</v>
      </c>
      <c r="C19" s="13" t="n">
        <v>9300000</v>
      </c>
    </row>
    <row r="20" customFormat="false" ht="15" hidden="false" customHeight="false" outlineLevel="0" collapsed="false">
      <c r="A20" s="12" t="s">
        <v>52</v>
      </c>
      <c r="B20" s="13" t="n">
        <v>4000000</v>
      </c>
      <c r="C20" s="13" t="n">
        <v>3500000</v>
      </c>
    </row>
    <row r="21" customFormat="false" ht="15" hidden="false" customHeight="false" outlineLevel="0" collapsed="false">
      <c r="A21" s="15" t="s">
        <v>93</v>
      </c>
      <c r="B21" s="16" t="n">
        <f aca="false">SUM(B14:B20)</f>
        <v>171000000</v>
      </c>
      <c r="C21" s="16" t="n">
        <f aca="false">SUM(C14:C20)</f>
        <v>145800000</v>
      </c>
    </row>
    <row r="23" customFormat="false" ht="15" hidden="false" customHeight="false" outlineLevel="0" collapsed="false">
      <c r="A23" s="17" t="s">
        <v>94</v>
      </c>
      <c r="B23" s="18" t="n">
        <f aca="false">B11-B21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</cols>
  <sheetData>
    <row r="1" customFormat="false" ht="18.55" hidden="false" customHeight="false" outlineLevel="0" collapsed="false">
      <c r="A1" s="1" t="s">
        <v>95</v>
      </c>
    </row>
    <row r="2" customFormat="false" ht="15" hidden="false" customHeight="false" outlineLevel="0" collapsed="false">
      <c r="A2" s="8" t="s">
        <v>22</v>
      </c>
    </row>
    <row r="4" customFormat="false" ht="15" hidden="false" customHeight="false" outlineLevel="0" collapsed="false">
      <c r="A4" s="9" t="s">
        <v>96</v>
      </c>
      <c r="B4" s="10" t="s">
        <v>97</v>
      </c>
      <c r="C4" s="10" t="s">
        <v>98</v>
      </c>
    </row>
    <row r="5" customFormat="false" ht="15" hidden="false" customHeight="false" outlineLevel="0" collapsed="false">
      <c r="A5" s="12" t="s">
        <v>78</v>
      </c>
      <c r="B5" s="13" t="n">
        <v>412000000</v>
      </c>
      <c r="C5" s="13" t="n">
        <v>365000000</v>
      </c>
    </row>
    <row r="6" customFormat="false" ht="15" hidden="false" customHeight="false" outlineLevel="0" collapsed="false">
      <c r="A6" s="12" t="s">
        <v>99</v>
      </c>
      <c r="B6" s="13" t="n">
        <v>-293000000</v>
      </c>
      <c r="C6" s="13" t="n">
        <v>-265000000</v>
      </c>
    </row>
    <row r="7" customFormat="false" ht="15" hidden="false" customHeight="false" outlineLevel="0" collapsed="false">
      <c r="A7" s="15" t="s">
        <v>100</v>
      </c>
      <c r="B7" s="16" t="n">
        <f aca="false">B5+B6</f>
        <v>119000000</v>
      </c>
      <c r="C7" s="16" t="n">
        <f aca="false">C5+C6</f>
        <v>100000000</v>
      </c>
    </row>
    <row r="8" customFormat="false" ht="15" hidden="false" customHeight="false" outlineLevel="0" collapsed="false">
      <c r="A8" s="12" t="s">
        <v>64</v>
      </c>
      <c r="B8" s="13" t="n">
        <v>-45000000</v>
      </c>
      <c r="C8" s="13" t="n">
        <v>-38000000</v>
      </c>
    </row>
    <row r="9" customFormat="false" ht="15" hidden="false" customHeight="false" outlineLevel="0" collapsed="false">
      <c r="A9" s="12" t="s">
        <v>68</v>
      </c>
      <c r="B9" s="13" t="n">
        <v>-38000000</v>
      </c>
      <c r="C9" s="13" t="n">
        <v>-32000000</v>
      </c>
    </row>
    <row r="10" customFormat="false" ht="15" hidden="false" customHeight="false" outlineLevel="0" collapsed="false">
      <c r="A10" s="12" t="s">
        <v>101</v>
      </c>
      <c r="B10" s="13" t="n">
        <v>-3000000</v>
      </c>
      <c r="C10" s="13" t="n">
        <v>-2800000</v>
      </c>
    </row>
    <row r="11" customFormat="false" ht="15" hidden="false" customHeight="false" outlineLevel="0" collapsed="false">
      <c r="A11" s="12" t="s">
        <v>72</v>
      </c>
      <c r="B11" s="13" t="n">
        <v>-6000000</v>
      </c>
      <c r="C11" s="13" t="n">
        <v>-5000000</v>
      </c>
    </row>
    <row r="12" customFormat="false" ht="15" hidden="false" customHeight="false" outlineLevel="0" collapsed="false">
      <c r="A12" s="12" t="s">
        <v>102</v>
      </c>
      <c r="B12" s="13" t="n">
        <v>-2000000</v>
      </c>
      <c r="C12" s="13" t="n">
        <v>-1000000</v>
      </c>
    </row>
    <row r="13" customFormat="false" ht="15" hidden="false" customHeight="false" outlineLevel="0" collapsed="false">
      <c r="A13" s="15" t="s">
        <v>103</v>
      </c>
      <c r="B13" s="16" t="n">
        <f aca="false">B7+B8+B9+B10+B11+B12</f>
        <v>25000000</v>
      </c>
      <c r="C13" s="16" t="n">
        <f aca="false">C7+C8+C9+C10+C11+C12</f>
        <v>21200000</v>
      </c>
    </row>
    <row r="14" customFormat="false" ht="15" hidden="false" customHeight="false" outlineLevel="0" collapsed="false">
      <c r="A14" s="12" t="s">
        <v>104</v>
      </c>
      <c r="B14" s="13" t="n">
        <v>-2500000</v>
      </c>
      <c r="C14" s="13" t="n">
        <v>-2200000</v>
      </c>
    </row>
    <row r="15" customFormat="false" ht="15" hidden="false" customHeight="false" outlineLevel="0" collapsed="false">
      <c r="A15" s="15" t="s">
        <v>105</v>
      </c>
      <c r="B15" s="16" t="n">
        <f aca="false">B13+B14</f>
        <v>22500000</v>
      </c>
      <c r="C15" s="16" t="n">
        <f aca="false">C13+C14</f>
        <v>19000000</v>
      </c>
    </row>
    <row r="16" customFormat="false" ht="15" hidden="false" customHeight="false" outlineLevel="0" collapsed="false">
      <c r="A16" s="12" t="s">
        <v>106</v>
      </c>
      <c r="B16" s="13" t="n">
        <v>-500000</v>
      </c>
      <c r="C16" s="13" t="n">
        <v>-1000000</v>
      </c>
    </row>
    <row r="17" customFormat="false" ht="15" hidden="false" customHeight="false" outlineLevel="0" collapsed="false">
      <c r="A17" s="15" t="s">
        <v>107</v>
      </c>
      <c r="B17" s="16" t="n">
        <f aca="false">B15+B16</f>
        <v>22000000</v>
      </c>
      <c r="C17" s="16" t="n">
        <f aca="false">C15+C16</f>
        <v>18000000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8.5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8" t="s">
        <v>109</v>
      </c>
    </row>
    <row r="4" customFormat="false" ht="15" hidden="false" customHeight="false" outlineLevel="0" collapsed="false">
      <c r="A4" s="9" t="s">
        <v>110</v>
      </c>
      <c r="B4" s="9" t="s">
        <v>111</v>
      </c>
      <c r="C4" s="10" t="s">
        <v>112</v>
      </c>
      <c r="D4" s="9" t="s">
        <v>113</v>
      </c>
    </row>
    <row r="5" customFormat="false" ht="15" hidden="false" customHeight="false" outlineLevel="0" collapsed="false">
      <c r="A5" s="11" t="s">
        <v>114</v>
      </c>
      <c r="B5" s="12" t="s">
        <v>115</v>
      </c>
      <c r="C5" s="13" t="n">
        <v>9200000</v>
      </c>
      <c r="D5" s="12"/>
    </row>
    <row r="6" customFormat="false" ht="15" hidden="false" customHeight="false" outlineLevel="0" collapsed="false">
      <c r="A6" s="11" t="s">
        <v>116</v>
      </c>
      <c r="B6" s="12" t="s">
        <v>117</v>
      </c>
      <c r="C6" s="13" t="n">
        <v>7600000</v>
      </c>
      <c r="D6" s="17" t="s">
        <v>118</v>
      </c>
    </row>
    <row r="7" customFormat="false" ht="15" hidden="false" customHeight="false" outlineLevel="0" collapsed="false">
      <c r="A7" s="11" t="s">
        <v>119</v>
      </c>
      <c r="B7" s="12" t="s">
        <v>120</v>
      </c>
      <c r="C7" s="13" t="n">
        <v>12200000</v>
      </c>
      <c r="D7" s="12"/>
    </row>
    <row r="8" customFormat="false" ht="15" hidden="false" customHeight="false" outlineLevel="0" collapsed="false">
      <c r="A8" s="11" t="s">
        <v>121</v>
      </c>
      <c r="B8" s="12" t="s">
        <v>122</v>
      </c>
      <c r="C8" s="13" t="n">
        <v>4300000</v>
      </c>
      <c r="D8" s="12"/>
    </row>
    <row r="9" customFormat="false" ht="15" hidden="false" customHeight="false" outlineLevel="0" collapsed="false">
      <c r="A9" s="11" t="s">
        <v>123</v>
      </c>
      <c r="B9" s="12" t="s">
        <v>124</v>
      </c>
      <c r="C9" s="13" t="n">
        <v>6800000</v>
      </c>
      <c r="D9" s="12"/>
    </row>
    <row r="10" customFormat="false" ht="15" hidden="false" customHeight="false" outlineLevel="0" collapsed="false">
      <c r="A10" s="11" t="s">
        <v>125</v>
      </c>
      <c r="B10" s="12" t="s">
        <v>126</v>
      </c>
      <c r="C10" s="13" t="n">
        <v>5900000</v>
      </c>
      <c r="D10" s="12"/>
    </row>
    <row r="11" customFormat="false" ht="15" hidden="false" customHeight="false" outlineLevel="0" collapsed="false">
      <c r="A11" s="11" t="s">
        <v>127</v>
      </c>
      <c r="B11" s="12" t="s">
        <v>128</v>
      </c>
      <c r="C11" s="13" t="n">
        <v>3500000</v>
      </c>
      <c r="D11" s="17" t="s">
        <v>129</v>
      </c>
    </row>
    <row r="12" customFormat="false" ht="15" hidden="false" customHeight="false" outlineLevel="0" collapsed="false">
      <c r="A12" s="11" t="s">
        <v>130</v>
      </c>
      <c r="B12" s="12" t="s">
        <v>131</v>
      </c>
      <c r="C12" s="13" t="n">
        <v>2700000</v>
      </c>
      <c r="D12" s="12"/>
    </row>
    <row r="13" customFormat="false" ht="15" hidden="false" customHeight="false" outlineLevel="0" collapsed="false">
      <c r="A13" s="11" t="s">
        <v>132</v>
      </c>
      <c r="B13" s="12" t="s">
        <v>133</v>
      </c>
      <c r="C13" s="13" t="n">
        <v>4800000</v>
      </c>
      <c r="D13" s="17" t="s">
        <v>134</v>
      </c>
    </row>
    <row r="14" customFormat="false" ht="15" hidden="false" customHeight="false" outlineLevel="0" collapsed="false">
      <c r="A14" s="11" t="s">
        <v>135</v>
      </c>
      <c r="B14" s="12" t="s">
        <v>136</v>
      </c>
      <c r="C14" s="13" t="n">
        <v>1000000</v>
      </c>
      <c r="D14" s="12"/>
    </row>
    <row r="15" customFormat="false" ht="15" hidden="false" customHeight="false" outlineLevel="0" collapsed="false">
      <c r="A15" s="14"/>
      <c r="B15" s="15" t="s">
        <v>137</v>
      </c>
      <c r="C15" s="16" t="n">
        <f aca="false">SUM(C5:C14)</f>
        <v>58000000</v>
      </c>
      <c r="D15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8.5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8" t="s">
        <v>139</v>
      </c>
    </row>
    <row r="4" customFormat="false" ht="15" hidden="false" customHeight="false" outlineLevel="0" collapsed="false">
      <c r="A4" s="9" t="s">
        <v>110</v>
      </c>
      <c r="B4" s="9" t="s">
        <v>140</v>
      </c>
      <c r="C4" s="10" t="s">
        <v>112</v>
      </c>
      <c r="D4" s="9" t="s">
        <v>113</v>
      </c>
    </row>
    <row r="5" customFormat="false" ht="15" hidden="false" customHeight="false" outlineLevel="0" collapsed="false">
      <c r="A5" s="11" t="s">
        <v>141</v>
      </c>
      <c r="B5" s="12" t="s">
        <v>142</v>
      </c>
      <c r="C5" s="13" t="n">
        <v>14500000</v>
      </c>
      <c r="D5" s="12"/>
    </row>
    <row r="6" customFormat="false" ht="15" hidden="false" customHeight="false" outlineLevel="0" collapsed="false">
      <c r="A6" s="11" t="s">
        <v>143</v>
      </c>
      <c r="B6" s="12" t="s">
        <v>144</v>
      </c>
      <c r="C6" s="13" t="n">
        <v>9800000</v>
      </c>
      <c r="D6" s="17" t="s">
        <v>118</v>
      </c>
    </row>
    <row r="7" customFormat="false" ht="15" hidden="false" customHeight="false" outlineLevel="0" collapsed="false">
      <c r="A7" s="11" t="s">
        <v>145</v>
      </c>
      <c r="B7" s="12" t="s">
        <v>146</v>
      </c>
      <c r="C7" s="13" t="n">
        <v>6200000</v>
      </c>
      <c r="D7" s="17" t="s">
        <v>147</v>
      </c>
    </row>
    <row r="8" customFormat="false" ht="15" hidden="false" customHeight="false" outlineLevel="0" collapsed="false">
      <c r="A8" s="11" t="s">
        <v>148</v>
      </c>
      <c r="B8" s="12" t="s">
        <v>149</v>
      </c>
      <c r="C8" s="13" t="n">
        <v>5400000</v>
      </c>
      <c r="D8" s="12"/>
    </row>
    <row r="9" customFormat="false" ht="15" hidden="false" customHeight="false" outlineLevel="0" collapsed="false">
      <c r="A9" s="11" t="s">
        <v>150</v>
      </c>
      <c r="B9" s="12" t="s">
        <v>151</v>
      </c>
      <c r="C9" s="13" t="n">
        <v>4100000</v>
      </c>
      <c r="D9" s="12"/>
    </row>
    <row r="10" customFormat="false" ht="15" hidden="false" customHeight="false" outlineLevel="0" collapsed="false">
      <c r="A10" s="11" t="s">
        <v>152</v>
      </c>
      <c r="B10" s="12" t="s">
        <v>153</v>
      </c>
      <c r="C10" s="13" t="n">
        <v>1600000</v>
      </c>
      <c r="D10" s="12"/>
    </row>
    <row r="11" customFormat="false" ht="15" hidden="false" customHeight="false" outlineLevel="0" collapsed="false">
      <c r="A11" s="11" t="s">
        <v>154</v>
      </c>
      <c r="B11" s="12" t="s">
        <v>155</v>
      </c>
      <c r="C11" s="13" t="n">
        <v>3200000</v>
      </c>
      <c r="D11" s="12"/>
    </row>
    <row r="12" customFormat="false" ht="15" hidden="false" customHeight="false" outlineLevel="0" collapsed="false">
      <c r="A12" s="11" t="s">
        <v>156</v>
      </c>
      <c r="B12" s="12" t="s">
        <v>157</v>
      </c>
      <c r="C12" s="13" t="n">
        <v>3200000</v>
      </c>
      <c r="D12" s="12"/>
    </row>
    <row r="13" customFormat="false" ht="15" hidden="false" customHeight="false" outlineLevel="0" collapsed="false">
      <c r="A13" s="14"/>
      <c r="B13" s="15" t="s">
        <v>158</v>
      </c>
      <c r="C13" s="16" t="n">
        <f aca="false">SUM(C5:C12)</f>
        <v>48000000</v>
      </c>
      <c r="D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8.5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8" t="s">
        <v>160</v>
      </c>
    </row>
    <row r="4" customFormat="false" ht="15" hidden="false" customHeight="false" outlineLevel="0" collapsed="false">
      <c r="A4" s="9" t="s">
        <v>161</v>
      </c>
      <c r="B4" s="10" t="s">
        <v>162</v>
      </c>
    </row>
    <row r="5" customFormat="false" ht="15" hidden="false" customHeight="false" outlineLevel="0" collapsed="false">
      <c r="A5" s="12" t="s">
        <v>163</v>
      </c>
      <c r="B5" s="13" t="n">
        <v>21000000</v>
      </c>
    </row>
    <row r="6" customFormat="false" ht="15" hidden="false" customHeight="false" outlineLevel="0" collapsed="false">
      <c r="A6" s="12" t="s">
        <v>164</v>
      </c>
      <c r="B6" s="13" t="n">
        <v>-150000</v>
      </c>
    </row>
    <row r="7" customFormat="false" ht="15" hidden="false" customHeight="false" outlineLevel="0" collapsed="false">
      <c r="A7" s="15" t="s">
        <v>165</v>
      </c>
      <c r="B7" s="19" t="n">
        <f aca="false">B5+B6</f>
        <v>20850000</v>
      </c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2" t="s">
        <v>166</v>
      </c>
      <c r="B9" s="13" t="n">
        <v>21150000</v>
      </c>
    </row>
    <row r="10" customFormat="false" ht="15" hidden="false" customHeight="false" outlineLevel="0" collapsed="false">
      <c r="A10" s="12" t="s">
        <v>167</v>
      </c>
      <c r="B10" s="13" t="n">
        <v>-1200000</v>
      </c>
    </row>
    <row r="11" customFormat="false" ht="15" hidden="false" customHeight="false" outlineLevel="0" collapsed="false">
      <c r="A11" s="12" t="s">
        <v>168</v>
      </c>
      <c r="B11" s="13" t="n">
        <v>900000</v>
      </c>
    </row>
    <row r="12" customFormat="false" ht="15" hidden="false" customHeight="false" outlineLevel="0" collapsed="false">
      <c r="A12" s="15" t="s">
        <v>169</v>
      </c>
      <c r="B12" s="19" t="n">
        <f aca="false">B9+B10+B11</f>
        <v>20850000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5" t="s">
        <v>170</v>
      </c>
      <c r="B14" s="20" t="n">
        <f aca="false">B7-B12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5" min="4" style="0" width="16"/>
  </cols>
  <sheetData>
    <row r="1" customFormat="false" ht="18.5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8" t="s">
        <v>172</v>
      </c>
    </row>
    <row r="4" customFormat="false" ht="15" hidden="false" customHeight="false" outlineLevel="0" collapsed="false">
      <c r="A4" s="9" t="s">
        <v>173</v>
      </c>
      <c r="B4" s="9" t="s">
        <v>174</v>
      </c>
      <c r="C4" s="9" t="s">
        <v>175</v>
      </c>
      <c r="D4" s="10" t="s">
        <v>176</v>
      </c>
      <c r="E4" s="10" t="s">
        <v>177</v>
      </c>
    </row>
    <row r="5" customFormat="false" ht="15" hidden="false" customHeight="false" outlineLevel="0" collapsed="false">
      <c r="A5" s="21" t="s">
        <v>178</v>
      </c>
      <c r="B5" s="22"/>
      <c r="C5" s="22"/>
      <c r="D5" s="22"/>
      <c r="E5" s="22"/>
    </row>
    <row r="6" customFormat="false" ht="15" hidden="false" customHeight="false" outlineLevel="0" collapsed="false">
      <c r="A6" s="11" t="s">
        <v>179</v>
      </c>
      <c r="B6" s="12" t="s">
        <v>180</v>
      </c>
      <c r="C6" s="12" t="s">
        <v>181</v>
      </c>
      <c r="D6" s="23"/>
      <c r="E6" s="23" t="n">
        <v>3400000</v>
      </c>
    </row>
    <row r="7" customFormat="false" ht="15" hidden="false" customHeight="false" outlineLevel="0" collapsed="false">
      <c r="A7" s="11" t="s">
        <v>182</v>
      </c>
      <c r="B7" s="12" t="s">
        <v>183</v>
      </c>
      <c r="C7" s="12" t="s">
        <v>184</v>
      </c>
      <c r="D7" s="23"/>
      <c r="E7" s="23" t="n">
        <v>1800000</v>
      </c>
    </row>
    <row r="8" customFormat="false" ht="15" hidden="false" customHeight="false" outlineLevel="0" collapsed="false">
      <c r="A8" s="11" t="s">
        <v>182</v>
      </c>
      <c r="B8" s="12" t="s">
        <v>185</v>
      </c>
      <c r="C8" s="12" t="s">
        <v>186</v>
      </c>
      <c r="D8" s="23"/>
      <c r="E8" s="23" t="n">
        <v>2100000</v>
      </c>
    </row>
    <row r="9" customFormat="false" ht="15" hidden="false" customHeight="false" outlineLevel="0" collapsed="false">
      <c r="A9" s="21" t="s">
        <v>187</v>
      </c>
      <c r="B9" s="22"/>
      <c r="C9" s="22"/>
      <c r="D9" s="22"/>
      <c r="E9" s="22"/>
    </row>
    <row r="10" customFormat="false" ht="15" hidden="false" customHeight="false" outlineLevel="0" collapsed="false">
      <c r="A10" s="11" t="s">
        <v>188</v>
      </c>
      <c r="B10" s="12" t="s">
        <v>189</v>
      </c>
      <c r="C10" s="12" t="s">
        <v>190</v>
      </c>
      <c r="D10" s="23" t="n">
        <v>7800000</v>
      </c>
      <c r="E10" s="23"/>
    </row>
    <row r="11" customFormat="false" ht="15" hidden="false" customHeight="false" outlineLevel="0" collapsed="false">
      <c r="A11" s="11" t="s">
        <v>179</v>
      </c>
      <c r="B11" s="12" t="s">
        <v>191</v>
      </c>
      <c r="C11" s="24" t="s">
        <v>192</v>
      </c>
      <c r="D11" s="25" t="s">
        <v>193</v>
      </c>
      <c r="E11" s="25" t="s">
        <v>193</v>
      </c>
    </row>
    <row r="12" customFormat="false" ht="15" hidden="false" customHeight="false" outlineLevel="0" collapsed="false">
      <c r="A12" s="21" t="s">
        <v>194</v>
      </c>
      <c r="B12" s="22"/>
      <c r="C12" s="22"/>
      <c r="D12" s="22"/>
      <c r="E12" s="22"/>
    </row>
    <row r="13" customFormat="false" ht="15" hidden="false" customHeight="false" outlineLevel="0" collapsed="false">
      <c r="A13" s="11" t="s">
        <v>182</v>
      </c>
      <c r="B13" s="12" t="s">
        <v>195</v>
      </c>
      <c r="C13" s="12" t="s">
        <v>196</v>
      </c>
      <c r="D13" s="23"/>
      <c r="E13" s="23" t="n">
        <v>2000000</v>
      </c>
    </row>
    <row r="14" customFormat="false" ht="15" hidden="false" customHeight="false" outlineLevel="0" collapsed="false">
      <c r="A14" s="21" t="s">
        <v>197</v>
      </c>
      <c r="B14" s="22"/>
      <c r="C14" s="22"/>
      <c r="D14" s="22"/>
      <c r="E14" s="22"/>
    </row>
    <row r="15" customFormat="false" ht="15" hidden="false" customHeight="false" outlineLevel="0" collapsed="false">
      <c r="A15" s="11" t="s">
        <v>198</v>
      </c>
      <c r="B15" s="12" t="s">
        <v>199</v>
      </c>
      <c r="C15" s="12" t="s">
        <v>200</v>
      </c>
      <c r="D15" s="23"/>
      <c r="E15" s="23" t="n">
        <v>1200000</v>
      </c>
    </row>
    <row r="16" customFormat="false" ht="15" hidden="false" customHeight="false" outlineLevel="0" collapsed="false">
      <c r="A16" s="11" t="s">
        <v>201</v>
      </c>
      <c r="B16" s="12" t="s">
        <v>202</v>
      </c>
      <c r="C16" s="12" t="s">
        <v>203</v>
      </c>
      <c r="D16" s="23" t="n">
        <v>900000</v>
      </c>
      <c r="E16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5" min="4" style="0" width="20"/>
  </cols>
  <sheetData>
    <row r="1" customFormat="false" ht="18.5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8" t="s">
        <v>205</v>
      </c>
    </row>
    <row r="4" customFormat="false" ht="15" hidden="false" customHeight="false" outlineLevel="0" collapsed="false">
      <c r="A4" s="9" t="s">
        <v>206</v>
      </c>
      <c r="B4" s="9" t="s">
        <v>207</v>
      </c>
      <c r="C4" s="9" t="s">
        <v>208</v>
      </c>
      <c r="D4" s="9" t="s">
        <v>209</v>
      </c>
      <c r="E4" s="10" t="s">
        <v>210</v>
      </c>
    </row>
    <row r="5" customFormat="false" ht="15" hidden="false" customHeight="false" outlineLevel="0" collapsed="false">
      <c r="A5" s="11" t="s">
        <v>211</v>
      </c>
      <c r="B5" s="12" t="s">
        <v>212</v>
      </c>
      <c r="C5" s="12" t="s">
        <v>213</v>
      </c>
      <c r="D5" s="25" t="s">
        <v>214</v>
      </c>
      <c r="E5" s="13" t="n">
        <v>5200000</v>
      </c>
    </row>
    <row r="6" customFormat="false" ht="15" hidden="false" customHeight="false" outlineLevel="0" collapsed="false">
      <c r="A6" s="11" t="s">
        <v>215</v>
      </c>
      <c r="B6" s="12" t="s">
        <v>216</v>
      </c>
      <c r="C6" s="24" t="s">
        <v>217</v>
      </c>
      <c r="D6" s="26" t="s">
        <v>179</v>
      </c>
      <c r="E6" s="13" t="n">
        <v>2400000</v>
      </c>
    </row>
    <row r="7" customFormat="false" ht="15" hidden="false" customHeight="false" outlineLevel="0" collapsed="false">
      <c r="A7" s="11" t="s">
        <v>218</v>
      </c>
      <c r="B7" s="12" t="s">
        <v>219</v>
      </c>
      <c r="C7" s="12" t="s">
        <v>220</v>
      </c>
      <c r="D7" s="25" t="s">
        <v>221</v>
      </c>
      <c r="E7" s="13" t="n">
        <v>1100000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2026-06-22T21:04:23Z</dcterms:created>
  <dc:creator>openpyxl</dc:creator>
  <dc:description/>
  <dc:language>en-US</dc:language>
  <cp:lastModifiedBy/>
  <dcterms:modified xsi:type="dcterms:W3CDTF">2026-06-22T21:04:23Z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